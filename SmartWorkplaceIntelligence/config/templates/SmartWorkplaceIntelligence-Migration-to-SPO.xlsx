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8fc2f984241a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Overview" sheetId="1" r:id="R3e601cc155234d57" state="visible"/>
    <x:sheet name="MigrationSP" sheetId="2" r:id="R812fd437c72c47e2" state="visible"/>
    <x:sheet name="MigrationSharedFolders" sheetId="6" r:id="Rfecff36457df4a68" state="visible"/>
    <x:sheet name="Parameters" sheetId="3" r:id="Ra07ab8e5d39e45b0" state="visible"/>
    <x:sheet name="LegacyWebs" sheetId="4" r:id="Rdf4a0542e7114add" state="hidden"/>
    <x:sheet name="LegacyCollections" sheetId="5" r:id="Reb8dfdf7f250444e" state="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#,##0.00"/>
    <x:numFmt numFmtId="203" formatCode="#,##0"/>
  </x:numFmts>
  <x:fonts count="10">
    <x:font>
      <x:sz val="11"/>
      <x:name val="Carlito"/>
    </x:font>
    <x:font>
      <x:sz val="10"/>
      <x:color rgb="FF172B4D"/>
      <x:name val="Arial"/>
    </x:font>
    <x:font>
      <x:b/>
      <x:sz val="16"/>
      <x:color rgb="FF172B4D"/>
      <x:name val="Arial"/>
    </x:font>
    <x:font>
      <x:sz val="10"/>
      <x:color rgb="FF53657D"/>
      <x:name val="Arial"/>
    </x:font>
    <x:font>
      <x:b/>
      <x:sz val="10"/>
      <x:color rgb="FFFFFFFF"/>
      <x:name val="Arial"/>
    </x:font>
    <x:font>
      <x:sz val="14"/>
      <x:color rgb="FF172B4D"/>
      <x:name val="Arial"/>
    </x:font>
    <x:font>
      <x:b/>
      <x:sz val="12"/>
      <x:color rgb="FF172B4D"/>
      <x:name val="Arial"/>
    </x:font>
    <x:font>
      <x:b/>
      <x:sz val="10"/>
      <x:color rgb="FF172B4D"/>
      <x:name val="Arial"/>
    </x:font>
    <x:font>
      <x:b/>
      <x:sz val="11"/>
      <x:color rgb="FFFFFFFF"/>
      <x:name val="Arial"/>
    </x:font>
    <x:font>
      <x:b/>
      <x:sz val="17"/>
      <x:color rgb="FF172B4D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45DA0"/>
      </x:patternFill>
    </x:fill>
    <x:fill>
      <x:patternFill patternType="solid">
        <x:fgColor rgb="FFFFF2CC"/>
      </x:patternFill>
    </x:fill>
    <x:fill>
      <x:patternFill patternType="solid">
        <x:fgColor rgb="FFEDF4FA"/>
      </x:patternFill>
    </x:fill>
    <x:fill>
      <x:patternFill patternType="solid">
        <x:fgColor rgb="FF145DA0"/>
      </x:patternFill>
    </x:fill>
    <x:fill>
      <x:patternFill patternType="solid">
        <x:fgColor rgb="FFEDF4FA"/>
      </x:patternFill>
    </x:fill>
    <x:fill>
      <x:patternFill patternType="solid">
        <x:fgColor rgb="FF145DA0"/>
      </x:patternFill>
    </x:fill>
    <x:fill>
      <x:patternFill patternType="solid">
        <x:fgColor rgb="FF145DA0"/>
      </x:patternFill>
    </x:fill>
    <x:fill>
      <x:patternFill patternType="solid">
        <x:fgColor rgb="FFEDF4FA"/>
      </x:patternFill>
    </x:fill>
    <x:fill>
      <x:patternFill patternType="solid">
        <x:fgColor rgb="FF145DA0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203" fontId="7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/>
    </x:xf>
    <x:xf numFmtId="200" fontId="1" fillId="11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6bea4bc554b8e" /><Relationship Type="http://schemas.openxmlformats.org/officeDocument/2006/relationships/theme" Target="/xl/theme/theme1.xml" Id="Re7a236e8e66242a4" /><Relationship Type="http://schemas.openxmlformats.org/officeDocument/2006/relationships/sharedStrings" Target="/xl/sharedStrings.xml" Id="Rb115e30ad4be451a" /><Relationship Type="http://schemas.openxmlformats.org/officeDocument/2006/relationships/worksheet" Target="/xl/worksheets/sheet1.xml" Id="R3e601cc155234d57" /><Relationship Type="http://schemas.openxmlformats.org/officeDocument/2006/relationships/worksheet" Target="/xl/worksheets/sheet2.xml" Id="R812fd437c72c47e2" /><Relationship Type="http://schemas.openxmlformats.org/officeDocument/2006/relationships/worksheet" Target="/xl/worksheets/sheet3.xml" Id="Rfecff36457df4a68" /><Relationship Type="http://schemas.openxmlformats.org/officeDocument/2006/relationships/worksheet" Target="/xl/worksheets/sheet4.xml" Id="Ra07ab8e5d39e45b0" /><Relationship Type="http://schemas.openxmlformats.org/officeDocument/2006/relationships/worksheet" Target="/xl/worksheets/sheet5.xml" Id="Rdf4a0542e7114add" /><Relationship Type="http://schemas.openxmlformats.org/officeDocument/2006/relationships/worksheet" Target="/xl/worksheets/sheet6.xml" Id="Reb8dfdf7f250444e" /></Relationships>
</file>

<file path=xl/tables/table1.xml><?xml version="1.0" encoding="utf-8"?>
<x:table xmlns:x="http://schemas.openxmlformats.org/spreadsheetml/2006/main" id="31" name="tblMigrationSP" displayName="tblMigrationSP" ref="A1:BE2" headerRowCount="1" totalsRowCount="0" totalsRowShown="0">
  <x:autoFilter ref="A1:BE2"/>
  <x:tableColumns count="57">
    <x:tableColumn id="1" name="MigrationID"/>
    <x:tableColumn id="2" name="TenantKey">
      <x:calculatedColumnFormula>IF(A2="","",IF(Parameters!$B$5="","",Parameters!$B$5))</x:calculatedColumnFormula>
    </x:tableColumn>
    <x:tableColumn id="3" name="ProjectKey">
      <x:calculatedColumnFormula>IF(A2="","",IF(Parameters!$B$4="","",Parameters!$B$4))</x:calculatedColumnFormula>
    </x:tableColumn>
    <x:tableColumn id="4" name="BusinessUnit"/>
    <x:tableColumn id="5" name="IntegrationType"/>
    <x:tableColumn id="6" name="Phase"/>
    <x:tableColumn id="7" name="LegacyGroup"/>
    <x:tableColumn id="8" name="SourceType"/>
    <x:tableColumn id="9" name="SourceURL"/>
    <x:tableColumn id="10" name="SourceURLAliases"/>
    <x:tableColumn id="11" name="SourceName"/>
    <x:tableColumn id="12" name="Disposition"/>
    <x:tableColumn id="13" name="ExecutionStatus"/>
    <x:tableColumn id="14" name="ValidationStatus"/>
    <x:tableColumn id="15" name="ValidationDate"/>
    <x:tableColumn id="16" name="TargetURL"/>
    <x:tableColumn id="17" name="TargetReviewStatus"/>
    <x:tableColumn id="18" name="SourceScope"/>
    <x:tableColumn id="19" name="PlannedDate"/>
    <x:tableColumn id="20" name="ActualDate"/>
    <x:tableColumn id="21" name="ImportedMigrationDate"/>
    <x:tableColumn id="22" name="ImportedDateMeaning"/>
    <x:tableColumn id="23" name="BusinessContact"/>
    <x:tableColumn id="24" name="Description"/>
    <x:tableColumn id="25" name="Comments"/>
    <x:tableColumn id="26" name="PermissionStrategy"/>
    <x:tableColumn id="27" name="ImportedTargetSite"/>
    <x:tableColumn id="28" name="ImportedTargetLibrary"/>
    <x:tableColumn id="29" name="ImportedTargetFolder"/>
    <x:tableColumn id="30" name="LegacyWebID"/>
    <x:tableColumn id="31" name="DateIssue">
      <x:calculatedColumnFormula>IF(A2="","",IF(AND(U2&lt;&gt;"",V2="TO_CLARIFY"),"CLARIFY_IMPORTED_DATE",IF(AND(M2="DONE",T2=""),"ACTUAL_DATE_MISSING","")))</x:calculatedColumnFormula>
    </x:tableColumn>
    <x:tableColumn id="32" name="SourceIssue">
      <x:calculatedColumnFormula>IF(A2="","",IF(I2="","SOURCE_MISSING",IF(COUNTIFS(tblMigrationSP[SourceURL],I2,tblMigrationSP[SourceType],H2)&gt;1,"DUPLICATE_SOURCE_REVIEW","")))</x:calculatedColumnFormula>
    </x:tableColumn>
    <x:tableColumn id="33" name="TargetIssue">
      <x:calculatedColumnFormula>IF(A2="","",IF(OR(L2="MIGRATE",L2="ARCHIVE"),IF(P2="","TARGET_MISSING",IF(Q2&lt;&gt;"CONFIRMED","TARGET_TO_CONFIRM","")),""))</x:calculatedColumnFormula>
    </x:tableColumn>
    <x:tableColumn id="34" name="ValidationIssue">
      <x:calculatedColumnFormula>IF(A2="","",IF(M2="DONE",IF(N2&lt;&gt;"VALIDATED","REPORTED_DONE_NOT_VALIDATED",IF(O2="","VALIDATION_DATE_MISSING","")),""))</x:calculatedColumnFormula>
    </x:tableColumn>
    <x:tableColumn id="35" name="TenantIssue">
      <x:calculatedColumnFormula>IF(A2="","",IF(B2="","TENANTKEY_REQUIRED",IF(C2="","PROJECTKEY_REQUIRED",IF(COUNTIF(tblMigrationSP[MigrationID],A2)&gt;1,"MIGRATION_ID_DUPLICATE",""))))</x:calculatedColumnFormula>
    </x:tableColumn>
    <x:tableColumn id="36" name="LegacyLinkIssue">
      <x:calculatedColumnFormula>IF(A2="","",IF(H2&lt;&gt;"SHAREPOINT-ONPREM","",IF(AD2="","LEGACY_LINK_NOT_CONFIRMED",IF(COUNTIF(tblLegacyWebs[LegacyWebID],AD2)&lt;&gt;1,"LEGACY_KEY_INVALID",""))))</x:calculatedColumnFormula>
    </x:tableColumn>
    <x:tableColumn id="37" name="ScopeIssue">
      <x:calculatedColumnFormula>IF(A2="","",IF(OR(R2="",R2="NOT_SPECIFIED"),"DEFINE_SOURCE_SCOPE",IF(OR(R2="ITEM_ONLY",R2="INCLUDE_CHILDREN",R2="NOT_APPLICABLE"),"","INVALID_SOURCE_SCOPE")))</x:calculatedColumnFormula>
    </x:tableColumn>
    <x:tableColumn id="38" name="ReviewRequired">
      <x:calculatedColumnFormula>IF(A2="","",IF(OR(L2="TBD",AE2&lt;&gt;"",AF2&lt;&gt;"",AG2&lt;&gt;"",AH2&lt;&gt;"",AI2&lt;&gt;"",AJ2&lt;&gt;"",AK2&lt;&gt;""),"YES","NO"))</x:calculatedColumnFormula>
    </x:tableColumn>
    <x:tableColumn id="39" name="SourceObjectType"/>
    <x:tableColumn id="40" name="LegacyParentWebID"/>
    <x:tableColumn id="41" name="LegacyLinkType"/>
    <x:tableColumn id="42" name="LinkValidationStatus"/>
    <x:tableColumn id="43" name="LinkValidationDate"/>
    <x:tableColumn id="44" name="SourceParentURL"/>
    <x:tableColumn id="45" name="SourceRelativePath"/>
    <x:tableColumn id="46" name="TargetObjectType"/>
    <x:tableColumn id="47" name="ProgressSource"/>
    <x:tableColumn id="48" name="ProgressUpdatedDate"/>
    <x:tableColumn id="49" name="OnPremMatchBasis"/>
    <x:tableColumn id="50" name="OnPremWebKey"/>
    <x:tableColumn id="51" name="OnPremParentWebKey"/>
    <x:tableColumn id="52" name="OnPremCoverageStatus"/>
    <x:tableColumn id="53" name="OnPremCollectedAtUTC"/>
    <x:tableColumn id="54" name="OnPremSourceRunID"/>
    <x:tableColumn id="55" name="OnPremParentMigrationID"/>
    <x:tableColumn id="56" name="OnPremRecordOrigin"/>
    <x:tableColumn id="57" name="OnPremAdditionalWebKey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0" name="tblMigrationSharedFolders" displayName="tblMigrationSharedFolders" ref="A1:AC2" headerRowCount="1" totalsRowCount="0" totalsRowShown="0">
  <x:autoFilter ref="A1:AC2"/>
  <x:tableColumns count="29">
    <x:tableColumn id="1" name="MigrationID"/>
    <x:tableColumn id="2" name="TenantKey">
      <x:calculatedColumnFormula>IF(A2="","",IF(Parameters!$B$5="","",Parameters!$B$5))</x:calculatedColumnFormula>
    </x:tableColumn>
    <x:tableColumn id="3" name="ProjectKey">
      <x:calculatedColumnFormula>IF(A2="","",IF(Parameters!$B$4="","",Parameters!$B$4))</x:calculatedColumnFormula>
    </x:tableColumn>
    <x:tableColumn id="4" name="BusinessUnit"/>
    <x:tableColumn id="5" name="Phase"/>
    <x:tableColumn id="6" name="LegacyGroup"/>
    <x:tableColumn id="7" name="SourceType">
      <x:calculatedColumnFormula>IF(A2="","","SHAREDFOLDERS")</x:calculatedColumnFormula>
    </x:tableColumn>
    <x:tableColumn id="8" name="SourcePath"/>
    <x:tableColumn id="9" name="FolderName"/>
    <x:tableColumn id="10" name="Disposition"/>
    <x:tableColumn id="11" name="ExecutionStatus"/>
    <x:tableColumn id="12" name="ValidationStatus"/>
    <x:tableColumn id="13" name="ValidationDate"/>
    <x:tableColumn id="14" name="TargetURL"/>
    <x:tableColumn id="15" name="TargetReviewStatus"/>
    <x:tableColumn id="16" name="SourceScope"/>
    <x:tableColumn id="17" name="PlannedDate"/>
    <x:tableColumn id="18" name="ActualDate"/>
    <x:tableColumn id="19" name="BusinessContact"/>
    <x:tableColumn id="20" name="Comments"/>
    <x:tableColumn id="21" name="Audience"/>
    <x:tableColumn id="22" name="PermissionStrategy"/>
    <x:tableColumn id="23" name="DateIssue">
      <x:calculatedColumnFormula>IF(A2="","",IF(AND(K2="DONE",R2=""),"ACTUAL_DATE_MISSING",""))</x:calculatedColumnFormula>
    </x:tableColumn>
    <x:tableColumn id="24" name="SourceIssue">
      <x:calculatedColumnFormula>IF(A2="","",IF(H2="","SOURCE_MISSING",IF(COUNTIFS(tblMigrationSharedFolders[SourcePath],H2,tblMigrationSharedFolders[TargetURL],N2)&gt;1,"DUPLICATE_SOURCE_REVIEW","")))</x:calculatedColumnFormula>
    </x:tableColumn>
    <x:tableColumn id="25" name="TargetIssue">
      <x:calculatedColumnFormula>IF(A2="","",IF(OR(J2="MIGRATE",J2="ARCHIVE"),IF(N2="","TARGET_MISSING",IF(O2&lt;&gt;"CONFIRMED","TARGET_TO_CONFIRM","")),""))</x:calculatedColumnFormula>
    </x:tableColumn>
    <x:tableColumn id="26" name="ValidationIssue">
      <x:calculatedColumnFormula>IF(A2="","",IF(K2="DONE",IF(L2&lt;&gt;"VALIDATED","REPORTED_DONE_NOT_VALIDATED",IF(M2="","VALIDATION_DATE_MISSING","")),""))</x:calculatedColumnFormula>
    </x:tableColumn>
    <x:tableColumn id="27" name="TenantIssue">
      <x:calculatedColumnFormula>IF(A2="","",IF(B2="","TENANTKEY_REQUIRED",IF(C2="","PROJECTKEY_REQUIRED",IF(COUNTIF(tblMigrationSharedFolders[MigrationID],A2)&gt;1,"MIGRATION_ID_DUPLICATE",""))))</x:calculatedColumnFormula>
    </x:tableColumn>
    <x:tableColumn id="28" name="ScopeIssue">
      <x:calculatedColumnFormula>IF(A2="","",IF(OR(P2="",P2="NOT_SPECIFIED"),"DEFINE_SOURCE_SCOPE",IF(OR(P2="ITEM_ONLY",P2="INCLUDE_CHILDREN",P2="NOT_APPLICABLE"),"","INVALID_SOURCE_SCOPE")))</x:calculatedColumnFormula>
    </x:tableColumn>
    <x:tableColumn id="29" name="ReviewRequired">
      <x:calculatedColumnFormula>IF(A2="","",IF(OR(J2="TBD",W2&lt;&gt;"",X2&lt;&gt;"",Y2&lt;&gt;"",Z2&lt;&gt;"",AA2&lt;&gt;"",AB2&lt;&gt;""),"YES","NO"))</x:calculatedColumnFormula>
    </x:tableColumn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Validation" displayName="refValidation" ref="H3:H8" headerRowCount="1" totalsRowCount="0" totalsRowShown="0">
  <x:autoFilter ref="H3:H8"/>
  <x:tableColumns count="1">
    <x:tableColumn id="1" name="Validation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refTargetReview" displayName="refTargetReview" ref="L3:L7" headerRowCount="1" totalsRowCount="0" totalsRowShown="0">
  <x:autoFilter ref="L3:L7"/>
  <x:tableColumns count="1">
    <x:tableColumn id="1" name="TargetReview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refPermissions" displayName="refPermissions" ref="R3:R7" headerRowCount="1" totalsRowCount="0" totalsRowShown="0">
  <x:autoFilter ref="R3:R7"/>
  <x:tableColumns count="1">
    <x:tableColumn id="1" name="PermissionStrateg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2" name="refDisposition" displayName="refDisposition" ref="D3:D9" headerRowCount="1" totalsRowCount="0" totalsRowShown="0">
  <x:autoFilter ref="D3:D9"/>
  <x:tableColumns count="1">
    <x:tableColumn id="1" name="Disposi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3" name="refExecution" displayName="refExecution" ref="F3:F11" headerRowCount="1" totalsRowCount="0" totalsRowShown="0">
  <x:autoFilter ref="F3:F11"/>
  <x:tableColumns count="1">
    <x:tableColumn id="1" name="Execution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5" name="refDateMeaning" displayName="refDateMeaning" ref="P3:P8" headerRowCount="1" totalsRowCount="0" totalsRowShown="0">
  <x:autoFilter ref="P3:P8"/>
  <x:tableColumns count="1">
    <x:tableColumn id="1" name="ImportedDateMeanin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6" name="refScope" displayName="refScope" ref="N3:N7" headerRowCount="1" totalsRowCount="0" totalsRowShown="0">
  <x:autoFilter ref="N3:N7"/>
  <x:tableColumns count="1">
    <x:tableColumn id="1" name="SourceSco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9" name="refSourceType" displayName="refSourceType" ref="J3:J5" headerRowCount="1" totalsRowCount="0" totalsRowShown="0">
  <x:autoFilter ref="J3:J5"/>
  <x:tableColumns count="1">
    <x:tableColumn id="1" name="SourceTyp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20" name="tblLegacyWebs" displayName="tblLegacyWebs" ref="A1:Q2" headerRowCount="1" totalsRowCount="0" totalsRowShown="0">
  <x:autoFilter ref="A1:Q2"/>
  <x:tableColumns count="17">
    <x:tableColumn id="1" name="LegacyWebID"/>
    <x:tableColumn id="2" name="LegacyCollectionID"/>
    <x:tableColumn id="3" name="SourceURL"/>
    <x:tableColumn id="4" name="SiteTitle"/>
    <x:tableColumn id="5" name="Description"/>
    <x:tableColumn id="6" name="CreatedDate"/>
    <x:tableColumn id="7" name="LastContentModifiedDate"/>
    <x:tableColumn id="8" name="TemplateUsed"/>
    <x:tableColumn id="9" name="LanguageLCID"/>
    <x:tableColumn id="10" name="DirectSubsiteCount"/>
    <x:tableColumn id="11" name="IsRootWeb"/>
    <x:tableColumn id="12" name="IntegrationType"/>
    <x:tableColumn id="13" name="Disposition"/>
    <x:tableColumn id="14" name="BusinessOwner"/>
    <x:tableColumn id="15" name="SourceInventoryRows"/>
    <x:tableColumn id="16" name="ImportedRowCount"/>
    <x:tableColumn id="17" name="ConflictingColumn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1" name="tblLegacyCollections" displayName="tblLegacyCollections" ref="A1:K2" headerRowCount="1" totalsRowCount="0" totalsRowShown="0">
  <x:autoFilter ref="A1:K2"/>
  <x:tableColumns count="11">
    <x:tableColumn id="1" name="LegacyCollectionID"/>
    <x:tableColumn id="2" name="SiteCollectionURL"/>
    <x:tableColumn id="3" name="WebApplicationURL"/>
    <x:tableColumn id="4" name="ContentDatabase"/>
    <x:tableColumn id="5" name="SizeMB_Reported"/>
    <x:tableColumn id="6" name="SizeConverted">
      <x:calculatedColumnFormula>IF(A2="","",IF(Parameters!$B$8="MB_DECIMAL",E2/1000,IF(Parameters!$B$8="MiB_BINARY",E2/1024,"")))</x:calculatedColumnFormula>
    </x:tableColumn>
    <x:tableColumn id="7" name="ConvertedUnit">
      <x:calculatedColumnFormula>IF(A2="","",IF(Parameters!$B$8="MB_DECIMAL","GB",IF(Parameters!$B$8="MiB_BINARY","GiB","UNCONFIRMED")))</x:calculatedColumnFormula>
    </x:tableColumn>
    <x:tableColumn id="8" name="TechnicalOwner"/>
    <x:tableColumn id="9" name="SecondaryContact"/>
    <x:tableColumn id="10" name="DistinctWebs"/>
    <x:tableColumn id="11" name="SourceInventoryRow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1cd6bff8042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18261067b449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93efa94411488d" /><Relationship Type="http://schemas.openxmlformats.org/officeDocument/2006/relationships/table" Target="/xl/tables/table4.xml" Id="Raefa85dddf1e4c6b" /><Relationship Type="http://schemas.openxmlformats.org/officeDocument/2006/relationships/table" Target="/xl/tables/table5.xml" Id="Rc1afaad5f23c4138" /><Relationship Type="http://schemas.openxmlformats.org/officeDocument/2006/relationships/table" Target="/xl/tables/table6.xml" Id="R0efe36ebd9064e5f" /><Relationship Type="http://schemas.openxmlformats.org/officeDocument/2006/relationships/table" Target="/xl/tables/table7.xml" Id="R8f5d4ebf79c74bde" /><Relationship Type="http://schemas.openxmlformats.org/officeDocument/2006/relationships/table" Target="/xl/tables/table8.xml" Id="R6ef32d0ff64a4ab0" /><Relationship Type="http://schemas.openxmlformats.org/officeDocument/2006/relationships/table" Target="/xl/tables/table9.xml" Id="Rf66362d1424c4169" /><Relationship Type="http://schemas.openxmlformats.org/officeDocument/2006/relationships/table" Target="/xl/tables/table10.xml" Id="R069a09f2dc0545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1.xml" Id="R79693105c34c48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2.xml" Id="Rca3d67e80ddd456f" /></Relationships>
</file>

<file path=xl/worksheets/sheet1.xml><?xml version="1.0" encoding="utf-8"?>
<x:worksheet xmlns:x="http://schemas.openxmlformats.org/spreadsheetml/2006/main">
  <x:sheetPr>
    <x:tabColor rgb="FF145DA0"/>
  </x:sheetPr>
  <x:sheetViews>
    <x:sheetView showGridLines="0" workbookViewId="0"/>
  </x:sheetViews>
  <x:sheetFormatPr defaultRowHeight="15"/>
  <x:cols>
    <x:col min="1" max="1" width="3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5" customHeight="1">
      <x:c r="A2" s="2"/>
      <x:c r="B2" s="52" t="str">
        <x:v>Migration to SharePoint Online</x:v>
      </x:c>
      <x:c r="C2" s="52"/>
      <x:c r="D2" s="52"/>
      <x:c r="E2" s="52"/>
      <x:c r="F2" s="52"/>
      <x:c r="G2" s="52"/>
      <x:c r="H2" s="52"/>
      <x:c r="I2" s="52"/>
      <x:c r="J2" s="52"/>
      <x:c r="K2" s="5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2"/>
      <x:c r="B6" s="48" t="str">
        <x:v>Disposition</x:v>
      </x:c>
      <x:c r="C6" s="48" t="str">
        <x:v>SharePoint On-prem</x:v>
      </x:c>
      <x:c r="D6" s="48" t="str">
        <x:v>Shared folders</x:v>
      </x:c>
      <x:c r="E6" s="48" t="str">
        <x:v>Total</x:v>
      </x:c>
      <x:c r="F6" s="2"/>
      <x:c r="G6" s="48" t="str">
        <x:v>SharePoint On-prem reconciliation</x:v>
      </x:c>
      <x:c r="H6" s="48"/>
      <x:c r="I6" s="48"/>
      <x:c r="J6" s="48"/>
      <x:c r="K6" s="48"/>
    </x:row>
    <x:row r="7" ht="24" customHeight="1">
      <x:c r="A7" s="2"/>
      <x:c r="B7" s="2" t="str">
        <x:v>MIGRATE</x:v>
      </x:c>
      <x:c r="C7" s="2" t="n">
        <x:f>COUNTIF(tblMigrationSP[Disposition],B7)</x:f>
        <x:v>0</x:v>
      </x:c>
      <x:c r="D7" s="2" t="n">
        <x:f>COUNTIF(tblMigrationSharedFolders[Disposition],B7)</x:f>
        <x:v>0</x:v>
      </x:c>
      <x:c r="E7" s="2" t="n">
        <x:f>SUM(C7:D7)</x:f>
        <x:v>0</x:v>
      </x:c>
      <x:c r="F7" s="2"/>
      <x:c r="G7" s="6" t="str">
        <x:v>Matched operations (native / alias)</x:v>
      </x:c>
      <x:c r="H7" s="6"/>
      <x:c r="I7" s="6"/>
      <x:c r="J7" s="6"/>
      <x:c r="K7" s="2" t="n">
        <x:f>COUNTIFS(tblMigrationSP[MigrationID],"&lt;&gt;",tblMigrationSP[OnPremWebKey],"&lt;&gt;")</x:f>
        <x:v>0</x:v>
      </x:c>
    </x:row>
    <x:row r="8" ht="24" customHeight="1">
      <x:c r="A8" s="2"/>
      <x:c r="B8" s="2" t="str">
        <x:v>DELETE</x:v>
      </x:c>
      <x:c r="C8" s="2" t="n">
        <x:f>COUNTIF(tblMigrationSP[Disposition],B8)</x:f>
        <x:v>0</x:v>
      </x:c>
      <x:c r="D8" s="2" t="n">
        <x:f>COUNTIF(tblMigrationSharedFolders[Disposition],B8)</x:f>
        <x:v>0</x:v>
      </x:c>
      <x:c r="E8" s="2" t="n">
        <x:f>SUM(C8:D8)</x:f>
        <x:v>0</x:v>
      </x:c>
      <x:c r="F8" s="2"/>
      <x:c r="G8" s="2"/>
      <x:c r="H8" s="2"/>
      <x:c r="I8" s="2"/>
      <x:c r="J8" s="2"/>
      <x:c r="K8" s="2"/>
    </x:row>
    <x:row r="9" ht="24" customHeight="1">
      <x:c r="A9" s="2"/>
      <x:c r="B9" s="2" t="str">
        <x:v>ARCHIVE</x:v>
      </x:c>
      <x:c r="C9" s="2" t="n">
        <x:f>COUNTIF(tblMigrationSP[Disposition],B9)</x:f>
        <x:v>0</x:v>
      </x:c>
      <x:c r="D9" s="2" t="n">
        <x:f>COUNTIF(tblMigrationSharedFolders[Disposition],B9)</x:f>
        <x:v>0</x:v>
      </x:c>
      <x:c r="E9" s="2" t="n">
        <x:f>SUM(C9:D9)</x:f>
        <x:v>0</x:v>
      </x:c>
      <x:c r="F9" s="2"/>
      <x:c r="G9" s="6" t="str">
        <x:v>Parent context only</x:v>
      </x:c>
      <x:c r="H9" s="6"/>
      <x:c r="I9" s="6"/>
      <x:c r="J9" s="6"/>
      <x:c r="K9" s="2" t="n">
        <x:f>COUNTIFS(tblMigrationSP[MigrationID],"&lt;&gt;",tblMigrationSP[OnPremParentWebKey],"&lt;&gt;")-COUNTIFS(tblMigrationSP[MigrationID],"&lt;&gt;",tblMigrationSP[OnPremWebKey],"&lt;&gt;",tblMigrationSP[OnPremParentWebKey],"&lt;&gt;")</x:f>
        <x:v>0</x:v>
      </x:c>
    </x:row>
    <x:row r="10" ht="24" customHeight="1">
      <x:c r="A10" s="2"/>
      <x:c r="B10" s="2" t="str">
        <x:v>TBD</x:v>
      </x:c>
      <x:c r="C10" s="2" t="n">
        <x:f>COUNTIF(tblMigrationSP[Disposition],B10)</x:f>
        <x:v>0</x:v>
      </x:c>
      <x:c r="D10" s="2" t="n">
        <x:f>COUNTIF(tblMigrationSharedFolders[Disposition],B10)</x:f>
        <x:v>0</x:v>
      </x:c>
      <x:c r="E10" s="2" t="n">
        <x:f>SUM(C10:D10)</x:f>
        <x:v>0</x:v>
      </x:c>
      <x:c r="F10" s="2"/>
      <x:c r="G10" s="2"/>
      <x:c r="H10" s="2"/>
      <x:c r="I10" s="2"/>
      <x:c r="J10" s="2"/>
      <x:c r="K10" s="2"/>
    </x:row>
    <x:row r="11" ht="24" customHeight="1">
      <x:c r="A11" s="2"/>
      <x:c r="B11" s="2" t="str">
        <x:v>KEEP</x:v>
      </x:c>
      <x:c r="C11" s="2" t="n">
        <x:f>COUNTIF(tblMigrationSP[Disposition],B11)</x:f>
        <x:v>0</x:v>
      </x:c>
      <x:c r="D11" s="2" t="n">
        <x:f>COUNTIF(tblMigrationSharedFolders[Disposition],B11)</x:f>
        <x:v>0</x:v>
      </x:c>
      <x:c r="E11" s="2" t="n">
        <x:f>SUM(C11:D11)</x:f>
        <x:v>0</x:v>
      </x:c>
      <x:c r="F11" s="2"/>
      <x:c r="G11" s="6" t="str">
        <x:v>Not observed in this capture</x:v>
      </x:c>
      <x:c r="H11" s="6"/>
      <x:c r="I11" s="6"/>
      <x:c r="J11" s="6"/>
      <x:c r="K11" s="2" t="n">
        <x:f>C13-K7-K9</x:f>
        <x:v>0</x:v>
      </x:c>
    </x:row>
    <x:row r="12" ht="24" customHeight="1">
      <x:c r="A12" s="2"/>
      <x:c r="B12" s="2" t="str">
        <x:v>NOTINPLAN</x:v>
      </x:c>
      <x:c r="C12" s="2" t="n">
        <x:f>COUNTIF(tblMigrationSP[Disposition],B12)</x:f>
        <x:v>0</x:v>
      </x:c>
      <x:c r="D12" s="2" t="n">
        <x:f>COUNTIF(tblMigrationSharedFolders[Disposition],B12)</x:f>
        <x:v>0</x:v>
      </x:c>
      <x:c r="E12" s="2" t="n">
        <x:f>SUM(C12:D12)</x:f>
        <x:v>0</x:v>
      </x:c>
      <x:c r="F12" s="2"/>
      <x:c r="G12" s="2"/>
      <x:c r="H12" s="2"/>
      <x:c r="I12" s="2"/>
      <x:c r="J12" s="2"/>
      <x:c r="K12" s="2"/>
    </x:row>
    <x:row r="13" ht="24" customHeight="1">
      <x:c r="A13" s="2"/>
      <x:c r="B13" s="24" t="str">
        <x:v>Total operations</x:v>
      </x:c>
      <x:c r="C13" s="24" t="n">
        <x:f>COUNTA(tblMigrationSP[MigrationID])</x:f>
        <x:v>0</x:v>
      </x:c>
      <x:c r="D13" s="24" t="n">
        <x:f>COUNTA(tblMigrationSharedFolders[MigrationID])</x:f>
        <x:v>0</x:v>
      </x:c>
      <x:c r="E13" s="24" t="n">
        <x:f>SUM(C13:D13)</x:f>
        <x:v>0</x:v>
      </x:c>
      <x:c r="F13" s="2"/>
      <x:c r="G13" s="6" t="str">
        <x:v>Not in current SharePoint plan</x:v>
      </x:c>
      <x:c r="H13" s="6"/>
      <x:c r="I13" s="6"/>
      <x:c r="J13" s="6"/>
      <x:c r="K13" s="2" t="n">
        <x:f>COUNTIF(tblMigrationSP[Disposition],"NOTINPLAN")</x:f>
        <x:v>0</x:v>
      </x:c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34" customHeight="1">
      <x:c r="A15" s="2"/>
      <x:c r="B15" s="48" t="str">
        <x:v>Execution status</x:v>
      </x:c>
      <x:c r="C15" s="48" t="str">
        <x:v>SharePoint On-prem</x:v>
      </x:c>
      <x:c r="D15" s="48" t="str">
        <x:v>Shared folders</x:v>
      </x:c>
      <x:c r="E15" s="48" t="str">
        <x:v>Total</x:v>
      </x:c>
      <x:c r="F15" s="2"/>
      <x:c r="G15" s="47" t="str">
        <x:v>Quality across both migration flows</x:v>
      </x:c>
      <x:c r="H15" s="47"/>
      <x:c r="I15" s="47"/>
      <x:c r="J15" s="47"/>
      <x:c r="K15" s="47"/>
    </x:row>
    <x:row r="16" ht="24" customHeight="1">
      <x:c r="A16" s="2"/>
      <x:c r="B16" s="2" t="str">
        <x:v>TO_PLAN</x:v>
      </x:c>
      <x:c r="C16" s="2" t="n">
        <x:f>COUNTIF(tblMigrationSP[ExecutionStatus],B16)</x:f>
        <x:v>0</x:v>
      </x:c>
      <x:c r="D16" s="2" t="n">
        <x:f>COUNTIF(tblMigrationSharedFolders[ExecutionStatus],B16)</x:f>
        <x:v>0</x:v>
      </x:c>
      <x:c r="E16" s="2" t="n">
        <x:f>SUM(C16:D16)</x:f>
        <x:v>0</x:v>
      </x:c>
      <x:c r="F16" s="2"/>
      <x:c r="G16" s="6" t="str">
        <x:v>Imported dates to clarify</x:v>
      </x:c>
      <x:c r="H16" s="6"/>
      <x:c r="I16" s="6"/>
      <x:c r="J16" s="6"/>
      <x:c r="K16" s="2" t="n">
        <x:f>COUNTIF(tblMigrationSP[DateIssue],"CLARIFY_IMPORTED_DATE")+COUNTIF(tblMigrationSharedFolders[DateIssue],"CLARIFY_IMPORTED_DATE")</x:f>
        <x:v>0</x:v>
      </x:c>
    </x:row>
    <x:row r="17" ht="24" customHeight="1">
      <x:c r="A17" s="2"/>
      <x:c r="B17" s="2" t="str">
        <x:v>PLANNED</x:v>
      </x:c>
      <x:c r="C17" s="2" t="n">
        <x:f>COUNTIF(tblMigrationSP[ExecutionStatus],B17)</x:f>
        <x:v>0</x:v>
      </x:c>
      <x:c r="D17" s="2" t="n">
        <x:f>COUNTIF(tblMigrationSharedFolders[ExecutionStatus],B17)</x:f>
        <x:v>0</x:v>
      </x:c>
      <x:c r="E17" s="2" t="n">
        <x:f>SUM(C17:D17)</x:f>
        <x:v>0</x:v>
      </x:c>
      <x:c r="F17" s="2"/>
      <x:c r="G17" s="2"/>
      <x:c r="H17" s="2"/>
      <x:c r="I17" s="2"/>
      <x:c r="J17" s="2"/>
      <x:c r="K17" s="2"/>
    </x:row>
    <x:row r="18" ht="24" customHeight="1">
      <x:c r="A18" s="2"/>
      <x:c r="B18" s="2" t="str">
        <x:v>IN_PROGRESS</x:v>
      </x:c>
      <x:c r="C18" s="2" t="n">
        <x:f>COUNTIF(tblMigrationSP[ExecutionStatus],B18)</x:f>
        <x:v>0</x:v>
      </x:c>
      <x:c r="D18" s="2" t="n">
        <x:f>COUNTIF(tblMigrationSharedFolders[ExecutionStatus],B18)</x:f>
        <x:v>0</x:v>
      </x:c>
      <x:c r="E18" s="2" t="n">
        <x:f>SUM(C18:D18)</x:f>
        <x:v>0</x:v>
      </x:c>
      <x:c r="F18" s="2"/>
      <x:c r="G18" s="6" t="str">
        <x:v>Required targets missing</x:v>
      </x:c>
      <x:c r="H18" s="6"/>
      <x:c r="I18" s="6"/>
      <x:c r="J18" s="6"/>
      <x:c r="K18" s="2" t="n">
        <x:f>COUNTIF(tblMigrationSP[TargetIssue],"TARGET_MISSING")+COUNTIF(tblMigrationSharedFolders[TargetIssue],"TARGET_MISSING")</x:f>
        <x:v>0</x:v>
      </x:c>
    </x:row>
    <x:row r="19" ht="24" customHeight="1">
      <x:c r="A19" s="2"/>
      <x:c r="B19" s="2" t="str">
        <x:v>DONE</x:v>
      </x:c>
      <x:c r="C19" s="2" t="n">
        <x:f>COUNTIF(tblMigrationSP[ExecutionStatus],B19)</x:f>
        <x:v>0</x:v>
      </x:c>
      <x:c r="D19" s="2" t="n">
        <x:f>COUNTIF(tblMigrationSharedFolders[ExecutionStatus],B19)</x:f>
        <x:v>0</x:v>
      </x:c>
      <x:c r="E19" s="2" t="n">
        <x:f>SUM(C19:D19)</x:f>
        <x:v>0</x:v>
      </x:c>
      <x:c r="F19" s="2"/>
      <x:c r="G19" s="2"/>
      <x:c r="H19" s="2"/>
      <x:c r="I19" s="2"/>
      <x:c r="J19" s="2"/>
      <x:c r="K19" s="2"/>
    </x:row>
    <x:row r="20" ht="24" customHeight="1">
      <x:c r="A20" s="2"/>
      <x:c r="B20" s="2" t="str">
        <x:v>TBD</x:v>
      </x:c>
      <x:c r="C20" s="2" t="n">
        <x:f>COUNTIF(tblMigrationSP[ExecutionStatus],B20)</x:f>
        <x:v>0</x:v>
      </x:c>
      <x:c r="D20" s="2" t="n">
        <x:f>COUNTIF(tblMigrationSharedFolders[ExecutionStatus],B20)</x:f>
        <x:v>0</x:v>
      </x:c>
      <x:c r="E20" s="2" t="n">
        <x:f>SUM(C20:D20)</x:f>
        <x:v>0</x:v>
      </x:c>
      <x:c r="F20" s="2"/>
      <x:c r="G20" s="6" t="str">
        <x:v>Done without dated validation</x:v>
      </x:c>
      <x:c r="H20" s="6"/>
      <x:c r="I20" s="6"/>
      <x:c r="J20" s="6"/>
      <x:c r="K20" s="2" t="n">
        <x:f>COUNTIF(tblMigrationSP[ValidationIssue],"REPORTED_DONE_NOT_VALIDATED")+COUNTIF(tblMigrationSharedFolders[ValidationIssue],"REPORTED_DONE_NOT_VALIDATED")</x:f>
        <x:v>0</x:v>
      </x:c>
    </x:row>
    <x:row r="21" ht="24" customHeight="1">
      <x:c r="A21" s="2"/>
      <x:c r="B21" s="2" t="str">
        <x:v>ON_HOLD</x:v>
      </x:c>
      <x:c r="C21" s="2" t="n">
        <x:f>COUNTIF(tblMigrationSP[ExecutionStatus],B21)</x:f>
        <x:v>0</x:v>
      </x:c>
      <x:c r="D21" s="2" t="n">
        <x:f>COUNTIF(tblMigrationSharedFolders[ExecutionStatus],B21)</x:f>
        <x:v>0</x:v>
      </x:c>
      <x:c r="E21" s="2" t="n">
        <x:f>SUM(C21:D21)</x:f>
        <x:v>0</x:v>
      </x:c>
      <x:c r="F21" s="2"/>
      <x:c r="G21" s="2"/>
      <x:c r="H21" s="2"/>
      <x:c r="I21" s="2"/>
      <x:c r="J21" s="2"/>
      <x:c r="K21" s="2"/>
    </x:row>
    <x:row r="22" ht="24" customHeight="1">
      <x:c r="A22" s="2"/>
      <x:c r="B22" s="2" t="str">
        <x:v>CANCELLED</x:v>
      </x:c>
      <x:c r="C22" s="2" t="n">
        <x:f>COUNTIF(tblMigrationSP[ExecutionStatus],B22)</x:f>
        <x:v>0</x:v>
      </x:c>
      <x:c r="D22" s="2" t="n">
        <x:f>COUNTIF(tblMigrationSharedFolders[ExecutionStatus],B22)</x:f>
        <x:v>0</x:v>
      </x:c>
      <x:c r="E22" s="2" t="n">
        <x:f>SUM(C22:D22)</x:f>
        <x:v>0</x:v>
      </x:c>
      <x:c r="F22" s="2"/>
      <x:c r="G22" s="6" t="str">
        <x:v>Sources needing scope</x:v>
      </x:c>
      <x:c r="H22" s="6"/>
      <x:c r="I22" s="6"/>
      <x:c r="J22" s="6"/>
      <x:c r="K22" s="2" t="n">
        <x:f>COUNTIF(tblMigrationSP[ScopeIssue],"DEFINE_SOURCE_SCOPE")+COUNTIF(tblMigrationSharedFolders[ScopeIssue],"DEFINE_SOURCE_SCOPE")</x:f>
        <x:v>0</x:v>
      </x:c>
    </x:row>
    <x:row r="23" ht="24" customHeight="1">
      <x:c r="A23" s="2"/>
      <x:c r="B23" s="2" t="str">
        <x:v>NOTINPLAN</x:v>
      </x:c>
      <x:c r="C23" s="2" t="n">
        <x:f>COUNTIF(tblMigrationSP[ExecutionStatus],B23)</x:f>
        <x:v>0</x:v>
      </x:c>
      <x:c r="D23" s="2" t="n">
        <x:f>COUNTIF(tblMigrationSharedFolders[ExecutionStatus],B23)</x:f>
        <x:v>0</x:v>
      </x:c>
      <x:c r="E23" s="2" t="n">
        <x:f>SUM(C23:D23)</x:f>
        <x:v>0</x:v>
      </x:c>
      <x:c r="F23" s="2"/>
      <x:c r="G23" s="2"/>
      <x:c r="H23" s="2"/>
      <x:c r="I23" s="2"/>
      <x:c r="J23" s="2"/>
      <x:c r="K23" s="2"/>
    </x:row>
    <x:row r="24" ht="24" customHeight="1">
      <x:c r="A24" s="2"/>
      <x:c r="B24" s="2"/>
      <x:c r="C24" s="2"/>
      <x:c r="D24" s="2"/>
      <x:c r="E24" s="2"/>
      <x:c r="F24" s="2"/>
      <x:c r="G24" s="6" t="str">
        <x:v>Rows needing tenant identity</x:v>
      </x:c>
      <x:c r="H24" s="6"/>
      <x:c r="I24" s="6"/>
      <x:c r="J24" s="6"/>
      <x:c r="K24" s="2" t="n">
        <x:f>COUNTIF(tblMigrationSP[TenantIssue],"TENANTKEY_REQUIRED")+COUNTIF(tblMigrationSharedFolders[TenantIssue],"TENANTKEY_REQUIRED")</x:f>
        <x:v>0</x:v>
      </x:c>
    </x:row>
    <x:row r="25" ht="34" customHeight="1">
      <x:c r="A25" s="2"/>
      <x:c r="B25" s="48" t="str">
        <x:v>MIGRATE only</x:v>
      </x:c>
      <x:c r="C25" s="48" t="str">
        <x:v>SharePoint On-prem</x:v>
      </x:c>
      <x:c r="D25" s="48" t="str">
        <x:v>Shared folders</x:v>
      </x:c>
      <x:c r="E25" s="48" t="str">
        <x:v>Total</x:v>
      </x:c>
      <x:c r="F25" s="2"/>
      <x:c r="G25" s="2"/>
      <x:c r="H25" s="2"/>
      <x:c r="I25" s="2"/>
      <x:c r="J25" s="2"/>
      <x:c r="K25" s="2"/>
    </x:row>
    <x:row r="26" ht="24" customHeight="1">
      <x:c r="A26" s="2"/>
      <x:c r="B26" s="2" t="str">
        <x:v>Reported done</x:v>
      </x:c>
      <x:c r="C26" s="2" t="n">
        <x:f>COUNTIFS(tblMigrationSP[Disposition],"MIGRATE",tblMigrationSP[ExecutionStatus],"DONE")</x:f>
        <x:v>0</x:v>
      </x:c>
      <x:c r="D26" s="2" t="n">
        <x:f>COUNTIFS(tblMigrationSharedFolders[Disposition],"MIGRATE",tblMigrationSharedFolders[ExecutionStatus],"DONE")</x:f>
        <x:v>0</x:v>
      </x:c>
      <x:c r="E26" s="2" t="n">
        <x:f>SUM(C26:D26)</x:f>
        <x:v>0</x:v>
      </x:c>
      <x:c r="F26" s="2"/>
      <x:c r="G26" s="6" t="str">
        <x:v>Duplicate IDs within a migration flow</x:v>
      </x:c>
      <x:c r="H26" s="6"/>
      <x:c r="I26" s="6"/>
      <x:c r="J26" s="6"/>
      <x:c r="K26" s="2" t="n">
        <x:f>COUNTIF(tblMigrationSP[TenantIssue],"MIGRATION_ID_DUPLICATE")+COUNTIF(tblMigrationSharedFolders[TenantIssue],"MIGRATION_ID_DUPLICATE")</x:f>
        <x:v>0</x:v>
      </x:c>
    </x:row>
    <x:row r="27" ht="24" customHeight="1">
      <x:c r="A27" s="2"/>
      <x:c r="B27" s="2" t="str">
        <x:v>Validated + dated</x:v>
      </x:c>
      <x:c r="C27" s="2" t="n">
        <x:f>COUNTIFS(tblMigrationSP[Disposition],"MIGRATE",tblMigrationSP[ExecutionStatus],"DONE",tblMigrationSP[ValidationStatus],"VALIDATED",tblMigrationSP[ValidationDate],"&gt;0")</x:f>
        <x:v>0</x:v>
      </x:c>
      <x:c r="D27" s="2" t="n">
        <x:f>COUNTIFS(tblMigrationSharedFolders[Disposition],"MIGRATE",tblMigrationSharedFolders[ExecutionStatus],"DONE",tblMigrationSharedFolders[ValidationStatus],"VALIDATED",tblMigrationSharedFolders[ValidationDate],"&gt;0")</x:f>
        <x:v>0</x:v>
      </x:c>
      <x:c r="E27" s="2" t="n">
        <x:f>SUM(C27:D27)</x:f>
        <x:v>0</x:v>
      </x:c>
      <x:c r="F27" s="2"/>
      <x:c r="G27" s="2"/>
      <x:c r="H27" s="2"/>
      <x:c r="I27" s="2"/>
      <x:c r="J27" s="2"/>
      <x:c r="K27" s="2"/>
    </x:row>
    <x:row r="28" ht="24" customHeight="1">
      <x:c r="A28" s="2"/>
      <x:c r="B28" s="2" t="str">
        <x:v>Remaining</x:v>
      </x:c>
      <x:c r="C28" s="2" t="n">
        <x:f>COUNTIF(tblMigrationSP[Disposition],"MIGRATE")-COUNTIFS(tblMigrationSP[Disposition],"MIGRATE",tblMigrationSP[ExecutionStatus],"DONE")-COUNTIFS(tblMigrationSP[Disposition],"MIGRATE",tblMigrationSP[ExecutionStatus],"CANCELLED")</x:f>
        <x:v>0</x:v>
      </x:c>
      <x:c r="D28" s="2" t="n">
        <x:f>COUNTIF(tblMigrationSharedFolders[Disposition],"MIGRATE")-COUNTIFS(tblMigrationSharedFolders[Disposition],"MIGRATE",tblMigrationSharedFolders[ExecutionStatus],"DONE")-COUNTIFS(tblMigrationSharedFolders[Disposition],"MIGRATE",tblMigrationSharedFolders[ExecutionStatus],"CANCELLED")</x:f>
        <x:v>0</x:v>
      </x:c>
      <x:c r="E28" s="2" t="n">
        <x:f>SUM(C28:D28)</x:f>
        <x:v>0</x:v>
      </x:c>
      <x:c r="F28" s="2"/>
      <x:c r="G28" s="2"/>
      <x:c r="H28" s="2"/>
      <x:c r="I28" s="2"/>
      <x:c r="J28" s="2"/>
      <x:c r="K28" s="2"/>
    </x:row>
    <x:row r="29" ht="24" customHeight="1">
      <x:c r="A29" s="2"/>
      <x:c r="B29" s="2"/>
      <x:c r="C29" s="2"/>
      <x:c r="D29" s="2"/>
      <x:c r="E29" s="2"/>
      <x:c r="F29" s="2"/>
      <x:c r="G29" s="6" t="str">
        <x:v>Content coverage state</x:v>
      </x:c>
      <x:c r="H29" s="6"/>
      <x:c r="I29" s="6"/>
      <x:c r="J29" s="6"/>
      <x:c r="K29" s="6" t="str">
        <x:v>Not configured</x:v>
      </x:c>
    </x:row>
    <x:row r="30" ht="34" customHeight="1">
      <x:c r="A30" s="2"/>
      <x:c r="B30" s="48" t="str">
        <x:v>Permission strategy</x:v>
      </x:c>
      <x:c r="C30" s="48" t="str">
        <x:v>SharePoint On-prem</x:v>
      </x:c>
      <x:c r="D30" s="48" t="str">
        <x:v>Shared folders</x:v>
      </x:c>
      <x:c r="E30" s="48" t="str">
        <x:v>Total</x:v>
      </x:c>
      <x:c r="F30" s="2"/>
      <x:c r="G30" s="2"/>
      <x:c r="H30" s="2"/>
      <x:c r="I30" s="2"/>
      <x:c r="J30" s="2"/>
      <x:c r="K30" s="6"/>
    </x:row>
    <x:row r="31" ht="24" customHeight="1">
      <x:c r="A31" s="2"/>
      <x:c r="B31" s="2" t="str">
        <x:v>COPY_SOURCE</x:v>
      </x:c>
      <x:c r="C31" s="2" t="n">
        <x:f>COUNTIF(tblMigrationSP[PermissionStrategy],B31)</x:f>
        <x:v>0</x:v>
      </x:c>
      <x:c r="D31" s="2" t="n">
        <x:f>COUNTIF(tblMigrationSharedFolders[PermissionStrategy],B31)</x:f>
        <x:v>0</x:v>
      </x:c>
      <x:c r="E31" s="2" t="n">
        <x:f>SUM(C31:D31)</x:f>
        <x:v>0</x:v>
      </x:c>
      <x:c r="F31" s="2"/>
      <x:c r="G31" s="6" t="str">
        <x:v>Content capture date (UTC)</x:v>
      </x:c>
      <x:c r="H31" s="6"/>
      <x:c r="I31" s="6"/>
      <x:c r="J31" s="6"/>
      <x:c r="K31" s="6"/>
    </x:row>
    <x:row r="32" ht="24" customHeight="1">
      <x:c r="A32" s="2"/>
      <x:c r="B32" s="2" t="str">
        <x:v>DO_NOT_COPY_SOURCE</x:v>
      </x:c>
      <x:c r="C32" s="2" t="n">
        <x:f>COUNTIF(tblMigrationSP[PermissionStrategy],B32)</x:f>
        <x:v>0</x:v>
      </x:c>
      <x:c r="D32" s="2" t="n">
        <x:f>COUNTIF(tblMigrationSharedFolders[PermissionStrategy],B32)</x:f>
        <x:v>0</x:v>
      </x:c>
      <x:c r="E32" s="2" t="n">
        <x:f>SUM(C32:D32)</x:f>
        <x:v>0</x:v>
      </x:c>
      <x:c r="F32" s="2"/>
      <x:c r="G32" s="2"/>
      <x:c r="H32" s="2"/>
      <x:c r="I32" s="2"/>
      <x:c r="J32" s="2"/>
      <x:c r="K32" s="2"/>
    </x:row>
    <x:row r="33" ht="24" customHeight="1">
      <x:c r="A33" s="2"/>
      <x:c r="B33" s="2" t="str">
        <x:v>NOT_SPECIFIED</x:v>
      </x:c>
      <x:c r="C33" s="2" t="n">
        <x:f>COUNTIF(tblMigrationSP[PermissionStrategy],B33)</x:f>
        <x:v>0</x:v>
      </x:c>
      <x:c r="D33" s="2" t="n">
        <x:f>COUNTIF(tblMigrationSharedFolders[PermissionStrategy],B33)</x:f>
        <x:v>0</x:v>
      </x:c>
      <x:c r="E33" s="2" t="n">
        <x:f>SUM(C33:D33)</x:f>
        <x:v>0</x:v>
      </x:c>
      <x:c r="F33" s="2"/>
      <x:c r="G33" s="2"/>
      <x:c r="H33" s="2"/>
      <x:c r="I33" s="2"/>
      <x:c r="J33" s="2"/>
      <x:c r="K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32" customHeight="1">
      <x:c r="A36" s="2"/>
      <x:c r="B36" s="5" t="str">
        <x:v>DONE is reported execution. Validation requires an explicit validation status and date.</x:v>
      </x:c>
      <x:c r="C36" s="6"/>
      <x:c r="D36" s="6"/>
      <x:c r="E36" s="6"/>
      <x:c r="F36" s="6"/>
      <x:c r="G36" s="6"/>
      <x:c r="H36" s="6"/>
      <x:c r="I36" s="6"/>
      <x:c r="J36" s="6"/>
      <x:c r="K36" s="6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32" customHeight="1">
      <x:c r="A38" s="2"/>
      <x:c r="B38" s="5" t="str">
        <x:v>Counts represent operations. Parent sites, subsites and shared folders can overlap in scope.</x:v>
      </x:c>
      <x:c r="C38" s="6"/>
      <x:c r="D38" s="6"/>
      <x:c r="E38" s="6"/>
      <x:c r="F38" s="6"/>
      <x:c r="G38" s="6"/>
      <x:c r="H38" s="6"/>
      <x:c r="I38" s="6"/>
      <x:c r="J38" s="6"/>
      <x:c r="K38" s="6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32" customHeight="1">
      <x:c r="A40" s="2"/>
      <x:c r="B40" s="5" t="str">
        <x:v>Historical inventories are distinct from current observations. Storage is not additive across parent and child rows.</x:v>
      </x:c>
      <x:c r="C40" s="6"/>
      <x:c r="D40" s="6"/>
      <x:c r="E40" s="6"/>
      <x:c r="F40" s="6"/>
      <x:c r="G40" s="6"/>
      <x:c r="H40" s="6"/>
      <x:c r="I40" s="6"/>
      <x:c r="J40" s="6"/>
      <x:c r="K40" s="6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2" customHeight="1">
      <x:c r="A42" s="2"/>
      <x:c r="B42" s="5" t="str">
        <x:v>Update each migration sheet and the shared Parameters. NOTINPLAN does not mean migrated or deleted.</x:v>
      </x:c>
      <x:c r="C42" s="6"/>
      <x:c r="D42" s="6"/>
      <x:c r="E42" s="6"/>
      <x:c r="F42" s="6"/>
      <x:c r="G42" s="6"/>
      <x:c r="H42" s="6"/>
      <x:c r="I42" s="6"/>
      <x:c r="J42" s="6"/>
      <x:c r="K42" s="6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</x:sheetData>
  <x:mergeCells>
    <x:mergeCell ref="B2:K2"/>
    <x:mergeCell ref="G6:K6"/>
    <x:mergeCell ref="G7:J7"/>
    <x:mergeCell ref="G9:J9"/>
    <x:mergeCell ref="G11:J11"/>
    <x:mergeCell ref="G13:J13"/>
    <x:mergeCell ref="G15:K15"/>
    <x:mergeCell ref="G16:J16"/>
    <x:mergeCell ref="G18:J18"/>
    <x:mergeCell ref="G20:J20"/>
    <x:mergeCell ref="G22:J22"/>
    <x:mergeCell ref="G24:J24"/>
    <x:mergeCell ref="G26:J26"/>
    <x:mergeCell ref="G29:J29"/>
    <x:mergeCell ref="G31:J31"/>
    <x:mergeCell ref="B36:K36"/>
    <x:mergeCell ref="B38:K38"/>
    <x:mergeCell ref="B40:K40"/>
    <x:mergeCell ref="B42:K42"/>
  </x:mergeCell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145DA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customWidth="1" hidden="0"/>
    <x:col min="2" max="2" width="20" hidden="1" customWidth="1"/>
    <x:col min="3" max="3" width="20" hidden="1" customWidth="1"/>
    <x:col min="4" max="4" width="20" customWidth="1" hidden="0"/>
    <x:col min="5" max="5" width="20" customWidth="1" hidden="0"/>
    <x:col min="6" max="6" width="20" customWidth="1" hidden="0"/>
    <x:col min="7" max="7" width="20" customWidth="1" hidden="1"/>
    <x:col min="8" max="8" width="23" hidden="1" customWidth="1"/>
    <x:col min="9" max="9" width="58" customWidth="1" hidden="0"/>
    <x:col min="10" max="10" width="82" customWidth="1" hidden="0"/>
    <x:col min="11" max="11" width="35" customWidth="1" hidden="0"/>
    <x:col min="12" max="12" width="23" customWidth="1" hidden="0"/>
    <x:col min="13" max="13" width="23" customWidth="1" hidden="0"/>
    <x:col min="14" max="14" width="23" customWidth="1" hidden="0"/>
    <x:col min="15" max="15" width="20" customWidth="1" hidden="0"/>
    <x:col min="16" max="16" width="58" customWidth="1" hidden="0"/>
    <x:col min="17" max="17" width="20" customWidth="1" hidden="0"/>
    <x:col min="18" max="18" width="20" customWidth="1" hidden="1"/>
    <x:col min="19" max="19" width="20" customWidth="1" hidden="0"/>
    <x:col min="20" max="20" width="20" customWidth="1" hidden="0"/>
    <x:col min="21" max="21" width="20" hidden="1" customWidth="1"/>
    <x:col min="22" max="22" width="20" hidden="1" customWidth="1"/>
    <x:col min="23" max="23" width="35" customWidth="1" hidden="0"/>
    <x:col min="24" max="24" width="65" customWidth="1" hidden="0"/>
    <x:col min="25" max="25" width="65" customWidth="1" hidden="0"/>
    <x:col min="26" max="26" width="20" customWidth="1" hidden="0"/>
    <x:col min="27" max="27" width="58" hidden="1" customWidth="1"/>
    <x:col min="28" max="28" width="20" hidden="1" customWidth="1"/>
    <x:col min="29" max="29" width="20" hidden="1" customWidth="1"/>
    <x:col min="30" max="30" width="20" hidden="1" customWidth="1"/>
    <x:col min="31" max="31" width="20" hidden="1" customWidth="1"/>
    <x:col min="32" max="32" width="20" hidden="1" customWidth="1"/>
    <x:col min="33" max="33" width="20" hidden="1" customWidth="1"/>
    <x:col min="34" max="34" width="20" hidden="1" customWidth="1"/>
    <x:col min="35" max="35" width="20" hidden="1" customWidth="1"/>
    <x:col min="36" max="36" width="20" hidden="1" customWidth="1"/>
    <x:col min="37" max="37" width="20" hidden="1" customWidth="1"/>
    <x:col min="38" max="38" width="23" customWidth="1" hidden="0"/>
    <x:col min="39" max="39" width="26" customWidth="1" hidden="0"/>
    <x:col min="40" max="40" width="24" hidden="1" customWidth="1"/>
    <x:col min="41" max="41" width="24" hidden="1" customWidth="1"/>
    <x:col min="42" max="42" width="24" hidden="1" customWidth="1"/>
    <x:col min="43" max="43" width="24" hidden="1" customWidth="1"/>
    <x:col min="44" max="44" width="24" hidden="1" customWidth="1"/>
    <x:col min="45" max="45" width="24" hidden="1" customWidth="1"/>
    <x:col min="46" max="46" width="26" customWidth="1" hidden="0"/>
    <x:col min="47" max="47" width="24" hidden="1" customWidth="1"/>
    <x:col min="48" max="48" width="24" hidden="1" customWidth="1"/>
    <x:col min="49" max="49" width="24" hidden="1" customWidth="1"/>
    <x:col min="50" max="50" width="24" hidden="1" customWidth="1"/>
    <x:col min="51" max="51" width="24" hidden="1" customWidth="1"/>
    <x:col min="52" max="52" width="24" hidden="1" customWidth="1"/>
    <x:col min="53" max="53" width="24" hidden="1" customWidth="1"/>
    <x:col min="54" max="54" width="24" hidden="1" customWidth="1"/>
    <x:col min="55" max="55" width="24" hidden="1" customWidth="1"/>
    <x:col min="56" max="56" width="24" hidden="1" customWidth="1"/>
    <x:col min="57" max="57" width="82" hidden="1" customWidth="1"/>
  </x:cols>
  <x:sheetData>
    <x:row r="1" ht="72" customHeight="1">
      <x:c r="A1" s="27" t="str">
        <x:v>MigrationID</x:v>
      </x:c>
      <x:c r="B1" s="27" t="str">
        <x:v>TenantKey</x:v>
      </x:c>
      <x:c r="C1" s="27" t="str">
        <x:v>ProjectKey</x:v>
      </x:c>
      <x:c r="D1" s="27" t="str">
        <x:v>BusinessUnit</x:v>
      </x:c>
      <x:c r="E1" s="27" t="str">
        <x:v>IntegrationType</x:v>
      </x:c>
      <x:c r="F1" s="27" t="str">
        <x:v>Phase</x:v>
      </x:c>
      <x:c r="G1" s="27" t="str">
        <x:v>LegacyGroup</x:v>
      </x:c>
      <x:c r="H1" s="27" t="str">
        <x:v>SourceType</x:v>
      </x:c>
      <x:c r="I1" s="27" t="str">
        <x:v>SourceURL</x:v>
      </x:c>
      <x:c r="J1" s="11" t="str">
        <x:v>SourceURLAliases</x:v>
      </x:c>
      <x:c r="K1" s="12" t="str">
        <x:v>SourceName</x:v>
      </x:c>
      <x:c r="L1" s="12" t="str">
        <x:v>Disposition</x:v>
      </x:c>
      <x:c r="M1" s="12" t="str">
        <x:v>ExecutionStatus</x:v>
      </x:c>
      <x:c r="N1" s="12" t="str">
        <x:v>ValidationStatus</x:v>
      </x:c>
      <x:c r="O1" s="12" t="str">
        <x:v>ValidationDate</x:v>
      </x:c>
      <x:c r="P1" s="12" t="str">
        <x:v>TargetURL</x:v>
      </x:c>
      <x:c r="Q1" s="12" t="str">
        <x:v>TargetReviewStatus</x:v>
      </x:c>
      <x:c r="R1" s="12" t="str">
        <x:v>SourceScope</x:v>
      </x:c>
      <x:c r="S1" s="12" t="str">
        <x:v>PlannedDate</x:v>
      </x:c>
      <x:c r="T1" s="12" t="str">
        <x:v>ActualDate</x:v>
      </x:c>
      <x:c r="U1" s="12" t="str">
        <x:v>ImportedMigrationDate</x:v>
      </x:c>
      <x:c r="V1" s="12" t="str">
        <x:v>ImportedDateMeaning</x:v>
      </x:c>
      <x:c r="W1" s="12" t="str">
        <x:v>BusinessContact</x:v>
      </x:c>
      <x:c r="X1" s="12" t="str">
        <x:v>Description</x:v>
      </x:c>
      <x:c r="Y1" s="12" t="str">
        <x:v>Comments</x:v>
      </x:c>
      <x:c r="Z1" s="12" t="str">
        <x:v>PermissionStrategy</x:v>
      </x:c>
      <x:c r="AA1" s="12" t="str">
        <x:v>ImportedTargetSite</x:v>
      </x:c>
      <x:c r="AB1" s="12" t="str">
        <x:v>ImportedTargetLibrary</x:v>
      </x:c>
      <x:c r="AC1" s="12" t="str">
        <x:v>ImportedTargetFolder</x:v>
      </x:c>
      <x:c r="AD1" s="12" t="str">
        <x:v>LegacyWebID</x:v>
      </x:c>
      <x:c r="AE1" s="12" t="str">
        <x:v>DateIssue</x:v>
      </x:c>
      <x:c r="AF1" s="12" t="str">
        <x:v>SourceIssue</x:v>
      </x:c>
      <x:c r="AG1" s="12" t="str">
        <x:v>TargetIssue</x:v>
      </x:c>
      <x:c r="AH1" s="12" t="str">
        <x:v>ValidationIssue</x:v>
      </x:c>
      <x:c r="AI1" s="12" t="str">
        <x:v>TenantIssue</x:v>
      </x:c>
      <x:c r="AJ1" s="12" t="str">
        <x:v>LegacyLinkIssue</x:v>
      </x:c>
      <x:c r="AK1" s="12" t="str">
        <x:v>ScopeIssue</x:v>
      </x:c>
      <x:c r="AL1" s="12" t="str">
        <x:v>ReviewRequired</x:v>
      </x:c>
      <x:c r="AM1" s="11" t="str">
        <x:v>SourceObjectType</x:v>
      </x:c>
      <x:c r="AN1" s="11" t="str">
        <x:v>LegacyParentWebID</x:v>
      </x:c>
      <x:c r="AO1" s="11" t="str">
        <x:v>LegacyLinkType</x:v>
      </x:c>
      <x:c r="AP1" s="11" t="str">
        <x:v>LinkValidationStatus</x:v>
      </x:c>
      <x:c r="AQ1" s="11" t="str">
        <x:v>LinkValidationDate</x:v>
      </x:c>
      <x:c r="AR1" s="11" t="str">
        <x:v>SourceParentURL</x:v>
      </x:c>
      <x:c r="AS1" s="11" t="str">
        <x:v>SourceRelativePath</x:v>
      </x:c>
      <x:c r="AT1" s="11" t="str">
        <x:v>TargetObjectType</x:v>
      </x:c>
      <x:c r="AU1" s="11" t="str">
        <x:v>ProgressSource</x:v>
      </x:c>
      <x:c r="AV1" s="11" t="str">
        <x:v>ProgressUpdatedDate</x:v>
      </x:c>
      <x:c r="AW1" s="11" t="str">
        <x:v>OnPremMatchBasis</x:v>
      </x:c>
      <x:c r="AX1" s="11" t="str">
        <x:v>OnPremWebKey</x:v>
      </x:c>
      <x:c r="AY1" s="11" t="str">
        <x:v>OnPremParentWebKey</x:v>
      </x:c>
      <x:c r="AZ1" s="11" t="str">
        <x:v>OnPremCoverageStatus</x:v>
      </x:c>
      <x:c r="BA1" s="11" t="str">
        <x:v>OnPremCollectedAtUTC</x:v>
      </x:c>
      <x:c r="BB1" s="11" t="str">
        <x:v>OnPremSourceRunID</x:v>
      </x:c>
      <x:c r="BC1" s="11" t="str">
        <x:v>OnPremParentMigrationID</x:v>
      </x:c>
      <x:c r="BD1" s="11" t="str">
        <x:v>OnPremRecordOrigin</x:v>
      </x:c>
      <x:c r="BE1" s="11" t="str">
        <x:v>OnPremAdditionalWebKeys</x:v>
      </x:c>
    </x:row>
    <x:row r="2" ht="24" customHeight="1">
      <x:c r="A2" s="2"/>
      <x:c r="B2" s="14" t="str">
        <x:f>IF(A2="","",IF(Parameters!$B$5="","",Parameters!$B$5))</x:f>
      </x:c>
      <x:c r="C2" s="14" t="str">
        <x:f>IF(A2="","",IF(Parameters!$B$4="","",Parameters!$B$4))</x:f>
      </x:c>
      <x:c r="D2" s="2"/>
      <x:c r="E2" s="2"/>
      <x:c r="F2" s="2"/>
      <x:c r="G2" s="2"/>
      <x:c r="H2" s="2"/>
      <x:c r="I2" s="2"/>
      <x:c r="J2" s="16"/>
      <x:c r="K2" s="2"/>
      <x:c r="L2" s="9"/>
      <x:c r="M2" s="9"/>
      <x:c r="N2" s="9"/>
      <x:c r="O2" s="13"/>
      <x:c r="P2" s="2"/>
      <x:c r="Q2" s="9"/>
      <x:c r="R2" s="9"/>
      <x:c r="S2" s="13"/>
      <x:c r="T2" s="13"/>
      <x:c r="U2" s="15"/>
      <x:c r="V2" s="9"/>
      <x:c r="W2" s="2"/>
      <x:c r="X2" s="6"/>
      <x:c r="Y2" s="6"/>
      <x:c r="Z2" s="2"/>
      <x:c r="AA2" s="14"/>
      <x:c r="AB2" s="14"/>
      <x:c r="AC2" s="14"/>
      <x:c r="AD2" s="9"/>
      <x:c r="AE2" s="14" t="str">
        <x:f>IF(A2="","",IF(AND(U2&lt;&gt;"",V2="TO_CLARIFY"),"CLARIFY_IMPORTED_DATE",IF(AND(M2="DONE",T2=""),"ACTUAL_DATE_MISSING","")))</x:f>
      </x:c>
      <x:c r="AF2" s="14" t="str">
        <x:f>IF(A2="","",IF(I2="","SOURCE_MISSING",IF(COUNTIFS(tblMigrationSP[SourceURL],I2,tblMigrationSP[SourceType],H2)&gt;1,"DUPLICATE_SOURCE_REVIEW","")))</x:f>
      </x:c>
      <x:c r="AG2" s="14" t="str">
        <x:f>IF(A2="","",IF(OR(L2="MIGRATE",L2="ARCHIVE"),IF(P2="","TARGET_MISSING",IF(Q2&lt;&gt;"CONFIRMED","TARGET_TO_CONFIRM","")),""))</x:f>
      </x:c>
      <x:c r="AH2" s="14" t="str">
        <x:f>IF(A2="","",IF(M2="DONE",IF(N2&lt;&gt;"VALIDATED","REPORTED_DONE_NOT_VALIDATED",IF(O2="","VALIDATION_DATE_MISSING","")),""))</x:f>
      </x:c>
      <x:c r="AI2" s="14" t="str">
        <x:f>IF(A2="","",IF(B2="","TENANTKEY_REQUIRED",IF(C2="","PROJECTKEY_REQUIRED",IF(COUNTIF(tblMigrationSP[MigrationID],A2)&gt;1,"MIGRATION_ID_DUPLICATE",""))))</x:f>
      </x:c>
      <x:c r="AJ2" s="14" t="str">
        <x:f>IF(A2="","",IF(H2&lt;&gt;"SHAREPOINT-ONPREM","",IF(AD2="","LEGACY_LINK_NOT_CONFIRMED",IF(COUNTIF(tblLegacyWebs[LegacyWebID],AD2)&lt;&gt;1,"LEGACY_KEY_INVALID",""))))</x:f>
      </x:c>
      <x:c r="AK2" s="14" t="str">
        <x:f>IF(A2="","",IF(OR(R2="",R2="NOT_SPECIFIED"),"DEFINE_SOURCE_SCOPE",IF(OR(R2="ITEM_ONLY",R2="INCLUDE_CHILDREN",R2="NOT_APPLICABLE"),"","INVALID_SOURCE_SCOPE")))</x:f>
      </x:c>
      <x:c r="AL2" s="14" t="str">
        <x:f>IF(A2="","",IF(OR(L2="TBD",AE2&lt;&gt;"",AF2&lt;&gt;"",AG2&lt;&gt;"",AH2&lt;&gt;"",AI2&lt;&gt;"",AJ2&lt;&gt;"",AK2&lt;&gt;""),"YES","NO"))</x:f>
      </x:c>
      <x:c r="AM2" s="16"/>
      <x:c r="AN2" s="16"/>
      <x:c r="AO2" s="16"/>
      <x:c r="AP2" s="16"/>
      <x:c r="AQ2" s="45"/>
      <x:c r="AR2" s="16"/>
      <x:c r="AS2" s="16"/>
      <x:c r="AT2" s="16"/>
      <x:c r="AU2" s="16"/>
      <x:c r="AV2" s="45"/>
      <x:c r="AW2" s="16"/>
      <x:c r="AX2" s="16"/>
      <x:c r="AY2" s="16"/>
      <x:c r="AZ2" s="16"/>
      <x:c r="BA2" s="45"/>
      <x:c r="BB2" s="16"/>
      <x:c r="BC2" s="16"/>
      <x:c r="BD2" s="16"/>
      <x:c r="BE2" s="16"/>
    </x:row>
  </x:sheetData>
  <x:conditionalFormatting sqref="L2:L2">
    <x:cfRule type="containsText" dxfId="0" priority="1" operator="containsText" text="TBD"/>
  </x:conditionalFormatting>
  <x:conditionalFormatting sqref="AL2:AL2">
    <x:cfRule type="containsText" dxfId="1" priority="2" operator="containsText" text="YES"/>
  </x:conditionalFormatting>
  <x:conditionalFormatting sqref="A2:A2">
    <x:cfRule type="duplicateValues" dxfId="2" priority="3"/>
  </x:conditionalFormatting>
  <x:dataValidations count="8">
    <x:dataValidation type="list" sqref="L2:L5001">
      <x:formula1>INDIRECT("Parameters!$D$4:$D$9")</x:formula1>
    </x:dataValidation>
    <x:dataValidation type="list" sqref="M2:M5001">
      <x:formula1>INDIRECT("Parameters!$F$4:$F$11")</x:formula1>
    </x:dataValidation>
    <x:dataValidation type="list" sqref="N2:N5001">
      <x:formula1>INDIRECT("Parameters!$H$4:$H$8")</x:formula1>
    </x:dataValidation>
    <x:dataValidation type="list" sqref="H2:H5001">
      <x:formula1>INDIRECT("Parameters!$J$4:$J$5")</x:formula1>
    </x:dataValidation>
    <x:dataValidation type="list" sqref="Q2:Q5001">
      <x:formula1>INDIRECT("Parameters!$L$4:$L$7")</x:formula1>
    </x:dataValidation>
    <x:dataValidation type="list" sqref="R2:R5001">
      <x:formula1>INDIRECT("Parameters!$N$4:$N$7")</x:formula1>
    </x:dataValidation>
    <x:dataValidation type="list" sqref="V2:V5001">
      <x:formula1>INDIRECT("Parameters!$P$4:$P$8")</x:formula1>
    </x:dataValidation>
    <x:dataValidation type="list" sqref="Z2:Z5001">
      <x:formula1>INDIRECT("Parameters!$R$4:$R$7")</x:formula1>
    </x:dataValidation>
  </x:dataValidations>
  <x:pageMargins left="0.7" right="0.7" top="0.75" bottom="0.75" header="0.3" footer="0.3"/>
  <x:tableParts count="1">
    <x:tablePart r:id="Rbec1cd6bff80429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1" customWidth="1"/>
    <x:col min="3" max="3" width="20" hidden="1" customWidth="1"/>
    <x:col min="4" max="4" width="20" hidden="0" customWidth="1"/>
    <x:col min="5" max="5" width="20" hidden="0" customWidth="1"/>
    <x:col min="6" max="6" width="20" hidden="1" customWidth="1"/>
    <x:col min="7" max="7" width="20" hidden="1" customWidth="1"/>
    <x:col min="8" max="8" width="72" hidden="0" customWidth="1"/>
    <x:col min="9" max="9" width="38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58" hidden="0" customWidth="1"/>
    <x:col min="15" max="15" width="20" hidden="0" customWidth="1"/>
    <x:col min="16" max="16" width="20" hidden="1" customWidth="1"/>
    <x:col min="17" max="17" width="20" hidden="1" customWidth="1"/>
    <x:col min="18" max="18" width="20" hidden="0" customWidth="1"/>
    <x:col min="19" max="19" width="32" hidden="0" customWidth="1"/>
    <x:col min="20" max="20" width="70" hidden="0" customWidth="1"/>
    <x:col min="21" max="21" width="20" hidden="0" customWidth="1"/>
    <x:col min="22" max="22" width="29" hidden="0" customWidth="1"/>
    <x:col min="23" max="23" width="20" hidden="1" customWidth="1"/>
    <x:col min="24" max="24" width="20" hidden="1" customWidth="1"/>
    <x:col min="25" max="25" width="20" hidden="1" customWidth="1"/>
    <x:col min="26" max="26" width="20" hidden="1" customWidth="1"/>
    <x:col min="27" max="27" width="20" hidden="1" customWidth="1"/>
    <x:col min="28" max="28" width="20" hidden="1" customWidth="1"/>
    <x:col min="29" max="29" width="20" hidden="0" customWidth="1"/>
  </x:cols>
  <x:sheetData>
    <x:row r="1" ht="42" customHeight="1">
      <x:c r="A1" s="49" t="str">
        <x:v>MigrationID</x:v>
      </x:c>
      <x:c r="B1" s="49" t="str">
        <x:v>TenantKey</x:v>
      </x:c>
      <x:c r="C1" s="49" t="str">
        <x:v>ProjectKey</x:v>
      </x:c>
      <x:c r="D1" s="49" t="str">
        <x:v>BusinessUnit</x:v>
      </x:c>
      <x:c r="E1" s="12" t="str">
        <x:v>Phase</x:v>
      </x:c>
      <x:c r="F1" s="12" t="str">
        <x:v>LegacyGroup</x:v>
      </x:c>
      <x:c r="G1" s="12" t="str">
        <x:v>SourceType</x:v>
      </x:c>
      <x:c r="H1" s="12" t="str">
        <x:v>SourcePath</x:v>
      </x:c>
      <x:c r="I1" s="12" t="str">
        <x:v>FolderName</x:v>
      </x:c>
      <x:c r="J1" s="12" t="str">
        <x:v>Disposition</x:v>
      </x:c>
      <x:c r="K1" s="12" t="str">
        <x:v>ExecutionStatus</x:v>
      </x:c>
      <x:c r="L1" s="12" t="str">
        <x:v>ValidationStatus</x:v>
      </x:c>
      <x:c r="M1" s="12" t="str">
        <x:v>ValidationDate</x:v>
      </x:c>
      <x:c r="N1" s="12" t="str">
        <x:v>TargetURL</x:v>
      </x:c>
      <x:c r="O1" s="12" t="str">
        <x:v>TargetReviewStatus</x:v>
      </x:c>
      <x:c r="P1" s="12" t="str">
        <x:v>SourceScope</x:v>
      </x:c>
      <x:c r="Q1" s="12" t="str">
        <x:v>PlannedDate</x:v>
      </x:c>
      <x:c r="R1" s="12" t="str">
        <x:v>ActualDate</x:v>
      </x:c>
      <x:c r="S1" s="12" t="str">
        <x:v>BusinessContact</x:v>
      </x:c>
      <x:c r="T1" s="12" t="str">
        <x:v>Comments</x:v>
      </x:c>
      <x:c r="U1" s="12" t="str">
        <x:v>Audience</x:v>
      </x:c>
      <x:c r="V1" s="12" t="str">
        <x:v>PermissionStrategy</x:v>
      </x:c>
      <x:c r="W1" s="12" t="str">
        <x:v>DateIssue</x:v>
      </x:c>
      <x:c r="X1" s="12" t="str">
        <x:v>SourceIssue</x:v>
      </x:c>
      <x:c r="Y1" s="12" t="str">
        <x:v>TargetIssue</x:v>
      </x:c>
      <x:c r="Z1" s="12" t="str">
        <x:v>ValidationIssue</x:v>
      </x:c>
      <x:c r="AA1" s="12" t="str">
        <x:v>TenantIssue</x:v>
      </x:c>
      <x:c r="AB1" s="12" t="str">
        <x:v>ScopeIssue</x:v>
      </x:c>
      <x:c r="AC1" s="12" t="str">
        <x:v>ReviewRequired</x:v>
      </x:c>
    </x:row>
    <x:row r="2" ht="30" customHeight="1">
      <x:c r="A2" s="2"/>
      <x:c r="B2" s="2" t="str">
        <x:f>IF(A2="","",IF(Parameters!$B$5="","",Parameters!$B$5))</x:f>
      </x:c>
      <x:c r="C2" s="2" t="str">
        <x:f>IF(A2="","",IF(Parameters!$B$4="","",Parameters!$B$4))</x:f>
      </x:c>
      <x:c r="D2" s="2"/>
      <x:c r="E2" s="2"/>
      <x:c r="F2" s="2"/>
      <x:c r="G2" s="2" t="str">
        <x:f>IF(A2="","","SHAREDFOLDERS")</x:f>
      </x:c>
      <x:c r="H2" s="6"/>
      <x:c r="I2" s="6"/>
      <x:c r="J2" s="9"/>
      <x:c r="K2" s="9"/>
      <x:c r="L2" s="9"/>
      <x:c r="M2" s="10"/>
      <x:c r="N2" s="53"/>
      <x:c r="O2" s="9"/>
      <x:c r="P2" s="9"/>
      <x:c r="Q2" s="10"/>
      <x:c r="R2" s="10"/>
      <x:c r="S2" s="53"/>
      <x:c r="T2" s="53"/>
      <x:c r="U2" s="6"/>
      <x:c r="V2" s="9"/>
      <x:c r="W2" s="2" t="str">
        <x:f>IF(A2="","",IF(AND(K2="DONE",R2=""),"ACTUAL_DATE_MISSING",""))</x:f>
      </x:c>
      <x:c r="X2" s="2" t="str">
        <x:f>IF(A2="","",IF(H2="","SOURCE_MISSING",IF(COUNTIFS(tblMigrationSharedFolders[SourcePath],H2,tblMigrationSharedFolders[TargetURL],N2)&gt;1,"DUPLICATE_SOURCE_REVIEW","")))</x:f>
      </x:c>
      <x:c r="Y2" s="2" t="str">
        <x:f>IF(A2="","",IF(OR(J2="MIGRATE",J2="ARCHIVE"),IF(N2="","TARGET_MISSING",IF(O2&lt;&gt;"CONFIRMED","TARGET_TO_CONFIRM","")),""))</x:f>
      </x:c>
      <x:c r="Z2" s="2" t="str">
        <x:f>IF(A2="","",IF(K2="DONE",IF(L2&lt;&gt;"VALIDATED","REPORTED_DONE_NOT_VALIDATED",IF(M2="","VALIDATION_DATE_MISSING","")),""))</x:f>
      </x:c>
      <x:c r="AA2" s="2" t="str">
        <x:f>IF(A2="","",IF(B2="","TENANTKEY_REQUIRED",IF(C2="","PROJECTKEY_REQUIRED",IF(COUNTIF(tblMigrationSharedFolders[MigrationID],A2)&gt;1,"MIGRATION_ID_DUPLICATE",""))))</x:f>
      </x:c>
      <x:c r="AB2" s="2" t="str">
        <x:f>IF(A2="","",IF(OR(P2="",P2="NOT_SPECIFIED"),"DEFINE_SOURCE_SCOPE",IF(OR(P2="ITEM_ONLY",P2="INCLUDE_CHILDREN",P2="NOT_APPLICABLE"),"","INVALID_SOURCE_SCOPE")))</x:f>
      </x:c>
      <x:c r="AC2" s="2" t="str">
        <x:f>IF(A2="","",IF(OR(J2="TBD",W2&lt;&gt;"",X2&lt;&gt;"",Y2&lt;&gt;"",Z2&lt;&gt;"",AA2&lt;&gt;"",AB2&lt;&gt;""),"YES","NO"))</x:f>
      </x:c>
    </x:row>
  </x:sheetData>
  <x:conditionalFormatting sqref="A2:A2">
    <x:cfRule type="duplicateValues" dxfId="3" priority="1"/>
  </x:conditionalFormatting>
  <x:conditionalFormatting sqref="AC2:AC2">
    <x:cfRule type="containsText" dxfId="4" priority="2" operator="containsText" text="YES"/>
  </x:conditionalFormatting>
  <x:dataValidations count="7">
    <x:dataValidation type="list" sqref="J2:J5001">
      <x:formula1>INDIRECT("Parameters!$D4:$D9")</x:formula1>
    </x:dataValidation>
    <x:dataValidation type="list" sqref="K2:K5001">
      <x:formula1>INDIRECT("Parameters!$F4:$F11")</x:formula1>
    </x:dataValidation>
    <x:dataValidation type="list" sqref="L2:L5001">
      <x:formula1>INDIRECT("Parameters!$H4:$H8")</x:formula1>
    </x:dataValidation>
    <x:dataValidation type="list" sqref="O2:O5001">
      <x:formula1>INDIRECT("Parameters!$L4:$L7")</x:formula1>
    </x:dataValidation>
    <x:dataValidation type="list" sqref="P2:P5001">
      <x:formula1>INDIRECT("Parameters!$N4:$N7")</x:formula1>
    </x:dataValidation>
    <x:dataValidation type="list" sqref="V2:V5001">
      <x:formula1>INDIRECT("Parameters!$R4:$R7")</x:formula1>
    </x:dataValidation>
    <x:dataValidation type="list" sqref="G2:G5001">
      <x:formula1>"SHAREDFOLDERS"</x:formula1>
    </x:dataValidation>
  </x:dataValidations>
  <x:pageMargins left="0.7" right="0.7" top="0.75" bottom="0.75" header="0.3" footer="0.3"/>
  <x:tableParts count="1">
    <x:tablePart r:id="R8518261067b449fb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tabColor rgb="FF4589BE"/>
  </x:sheetPr>
  <x:sheetViews>
    <x:sheetView showGridLines="0" workbookViewId="0"/>
  </x:sheetViews>
  <x:sheetFormatPr defaultRowHeight="15"/>
  <x:cols>
    <x:col min="1" max="1" width="33" hidden="0" customWidth="1"/>
    <x:col min="2" max="2" width="35" hidden="0" customWidth="1"/>
    <x:col min="3" max="3" width="20" hidden="0" customWidth="1"/>
    <x:col min="4" max="4" width="25" hidden="0" customWidth="1"/>
    <x:col min="5" max="5" width="20" hidden="0" customWidth="1"/>
    <x:col min="6" max="6" width="25" hidden="0" customWidth="1"/>
    <x:col min="7" max="7" width="20" hidden="0" customWidth="1"/>
    <x:col min="8" max="8" width="25" hidden="0" customWidth="1"/>
    <x:col min="9" max="9" width="20" hidden="0" customWidth="1"/>
    <x:col min="10" max="10" width="25" hidden="0" customWidth="1"/>
    <x:col min="11" max="11" width="20" hidden="0" customWidth="1"/>
    <x:col min="12" max="12" width="25" hidden="0" customWidth="1"/>
    <x:col min="13" max="13" width="20" hidden="0" customWidth="1"/>
    <x:col min="14" max="14" width="25" hidden="0" customWidth="1"/>
    <x:col min="15" max="15" width="20" hidden="0" customWidth="1"/>
    <x:col min="16" max="16" width="25" hidden="0" customWidth="1"/>
    <x:col min="17" max="17" width="20" hidden="0" customWidth="1"/>
    <x:col min="18" max="18" width="25" hidden="0" customWidth="1"/>
    <x:col min="19" max="19" width="20" hidden="0" customWidth="1"/>
    <x:col min="20" max="20" width="25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 ht="24" customHeight="1">
      <x:c r="A1" s="2" t="str">
        <x:v>Project configuration</x:v>
      </x:c>
      <x:c r="B1" s="2" t="str">
        <x:v>Value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35" customHeight="1">
      <x:c r="A3" s="8" t="str">
        <x:v>Parameter</x:v>
      </x:c>
      <x:c r="B3" s="8" t="str">
        <x:v>Value</x:v>
      </x:c>
      <x:c r="C3" s="2"/>
      <x:c r="D3" s="11" t="str">
        <x:v>Disposition</x:v>
      </x:c>
      <x:c r="E3" s="2"/>
      <x:c r="F3" s="11" t="str">
        <x:v>ExecutionStatus</x:v>
      </x:c>
      <x:c r="G3" s="2"/>
      <x:c r="H3" s="11" t="str">
        <x:v>ValidationStatus</x:v>
      </x:c>
      <x:c r="I3" s="2"/>
      <x:c r="J3" s="11" t="str">
        <x:v>SourceType</x:v>
      </x:c>
      <x:c r="K3" s="2"/>
      <x:c r="L3" s="11" t="str">
        <x:v>TargetReviewStatus</x:v>
      </x:c>
      <x:c r="M3" s="2"/>
      <x:c r="N3" s="11" t="str">
        <x:v>SourceScope</x:v>
      </x:c>
      <x:c r="O3" s="2"/>
      <x:c r="P3" s="11" t="str">
        <x:v>ImportedDateMeaning</x:v>
      </x:c>
      <x:c r="Q3" s="2"/>
      <x:c r="R3" s="11" t="str">
        <x:v>PermissionStrategy</x:v>
      </x:c>
      <x:c r="S3" s="2"/>
      <x:c r="T3"/>
      <x:c r="U3" s="2"/>
      <x:c r="V3" s="2"/>
      <x:c r="W3" s="2"/>
      <x:c r="X3" s="2"/>
      <x:c r="Y3" s="2"/>
      <x:c r="Z3" s="2"/>
      <x:c r="AA3" s="2"/>
    </x:row>
    <x:row r="4" ht="24" customHeight="1">
      <x:c r="A4" s="2" t="str">
        <x:v>ProjectKey</x:v>
      </x:c>
      <x:c r="B4" s="9"/>
      <x:c r="C4" s="2"/>
      <x:c r="D4" s="2" t="str">
        <x:v>MIGRATE</x:v>
      </x:c>
      <x:c r="E4" s="2"/>
      <x:c r="F4" s="2" t="str">
        <x:v>TO_PLAN</x:v>
      </x:c>
      <x:c r="G4" s="2"/>
      <x:c r="H4" s="2" t="str">
        <x:v>NOT_RECORDED</x:v>
      </x:c>
      <x:c r="I4" s="2"/>
      <x:c r="J4" s="2" t="str">
        <x:v>SHAREPOINT-ONPREM</x:v>
      </x:c>
      <x:c r="K4" s="2"/>
      <x:c r="L4" s="2" t="str">
        <x:v>NOT_RECORDED</x:v>
      </x:c>
      <x:c r="M4" s="2"/>
      <x:c r="N4" s="2" t="str">
        <x:v>NOT_SPECIFIED</x:v>
      </x:c>
      <x:c r="O4" s="2"/>
      <x:c r="P4" s="2" t="str">
        <x:v>TO_CLARIFY</x:v>
      </x:c>
      <x:c r="Q4" s="2"/>
      <x:c r="R4" s="2" t="str">
        <x:v>NOT_SPECIFIED</x:v>
      </x:c>
      <x:c r="S4" s="2"/>
      <x:c r="T4"/>
      <x:c r="U4" s="2"/>
      <x:c r="V4" s="2"/>
      <x:c r="W4" s="2"/>
      <x:c r="X4" s="2"/>
      <x:c r="Y4" s="2"/>
      <x:c r="Z4" s="2"/>
      <x:c r="AA4" s="2"/>
    </x:row>
    <x:row r="5" ht="24" customHeight="1">
      <x:c r="A5" s="2" t="str">
        <x:v>TenantKey</x:v>
      </x:c>
      <x:c r="B5" s="9"/>
      <x:c r="C5" s="2"/>
      <x:c r="D5" s="2" t="str">
        <x:v>ARCHIVE</x:v>
      </x:c>
      <x:c r="E5" s="2"/>
      <x:c r="F5" s="2" t="str">
        <x:v>PLANNED</x:v>
      </x:c>
      <x:c r="G5" s="2"/>
      <x:c r="H5" s="2" t="str">
        <x:v>PENDING</x:v>
      </x:c>
      <x:c r="I5" s="2"/>
      <x:c r="J5" s="2" t="str">
        <x:v>SHAREDFOLDERS</x:v>
      </x:c>
      <x:c r="K5" s="2"/>
      <x:c r="L5" s="2" t="str">
        <x:v>TO_CONFIRM</x:v>
      </x:c>
      <x:c r="M5" s="2"/>
      <x:c r="N5" s="2" t="str">
        <x:v>ITEM_ONLY</x:v>
      </x:c>
      <x:c r="O5" s="2"/>
      <x:c r="P5" s="2" t="str">
        <x:v>PLANNED</x:v>
      </x:c>
      <x:c r="Q5" s="2"/>
      <x:c r="R5" s="2" t="str">
        <x:v>DO_NOT_COPY_SOURCE</x:v>
      </x:c>
      <x:c r="S5" s="2"/>
      <x:c r="T5"/>
      <x:c r="U5" s="2"/>
      <x:c r="V5" s="2"/>
      <x:c r="W5" s="2"/>
      <x:c r="X5" s="2"/>
      <x:c r="Y5" s="2"/>
      <x:c r="Z5" s="2"/>
      <x:c r="AA5" s="2"/>
    </x:row>
    <x:row r="6" ht="24" customHeight="1">
      <x:c r="A6" s="2" t="str">
        <x:v>ReviewDate</x:v>
      </x:c>
      <x:c r="B6" s="10"/>
      <x:c r="C6" s="2"/>
      <x:c r="D6" s="2" t="str">
        <x:v>DELETE</x:v>
      </x:c>
      <x:c r="E6" s="2"/>
      <x:c r="F6" s="2" t="str">
        <x:v>IN_PROGRESS</x:v>
      </x:c>
      <x:c r="G6" s="2"/>
      <x:c r="H6" s="2" t="str">
        <x:v>REPORTED_YES</x:v>
      </x:c>
      <x:c r="I6" s="2"/>
      <x:c r="J6" s="2"/>
      <x:c r="K6" s="2"/>
      <x:c r="L6" s="2" t="str">
        <x:v>CONFIRMED</x:v>
      </x:c>
      <x:c r="M6" s="2"/>
      <x:c r="N6" s="2" t="str">
        <x:v>INCLUDE_CHILDREN</x:v>
      </x:c>
      <x:c r="O6" s="2"/>
      <x:c r="P6" s="2" t="str">
        <x:v>ACTUAL</x:v>
      </x:c>
      <x:c r="Q6" s="2"/>
      <x:c r="R6" s="2" t="str">
        <x:v>COPY_SOURCE</x:v>
      </x:c>
      <x:c r="S6" s="2"/>
      <x:c r="T6"/>
      <x:c r="U6" s="2"/>
      <x:c r="V6" s="2"/>
      <x:c r="W6" s="2"/>
      <x:c r="X6" s="2"/>
      <x:c r="Y6" s="2"/>
      <x:c r="Z6" s="2"/>
      <x:c r="AA6" s="2"/>
    </x:row>
    <x:row r="7" ht="24" customHeight="1">
      <x:c r="A7" s="2" t="str">
        <x:v>SchemaVersion</x:v>
      </x:c>
      <x:c r="B7" s="9" t="str">
        <x:v>6.3</x:v>
      </x:c>
      <x:c r="C7" s="2"/>
      <x:c r="D7" s="2" t="str">
        <x:v>KEEP</x:v>
      </x:c>
      <x:c r="E7" s="2"/>
      <x:c r="F7" s="2" t="str">
        <x:v>DONE</x:v>
      </x:c>
      <x:c r="G7" s="2"/>
      <x:c r="H7" s="2" t="str">
        <x:v>VALIDATED</x:v>
      </x:c>
      <x:c r="I7" s="2"/>
      <x:c r="J7" s="2"/>
      <x:c r="K7" s="2"/>
      <x:c r="L7" s="2" t="str">
        <x:v>NOT_APPLICABLE</x:v>
      </x:c>
      <x:c r="M7" s="2"/>
      <x:c r="N7" s="2" t="str">
        <x:v>NOT_APPLICABLE</x:v>
      </x:c>
      <x:c r="O7" s="2"/>
      <x:c r="P7" s="2" t="str">
        <x:v>OTHER</x:v>
      </x:c>
      <x:c r="Q7" s="2"/>
      <x:c r="R7" s="2" t="str">
        <x:v>REMAP</x:v>
      </x:c>
      <x:c r="S7" s="2"/>
      <x:c r="T7" s="2"/>
      <x:c r="U7" s="2"/>
      <x:c r="V7" s="2"/>
      <x:c r="W7" s="2"/>
      <x:c r="X7" s="2"/>
      <x:c r="Y7" s="2"/>
      <x:c r="Z7" s="2"/>
      <x:c r="AA7" s="2"/>
    </x:row>
    <x:row r="8" ht="24" customHeight="1">
      <x:c r="A8" s="2" t="str">
        <x:v>SourceSizeUnit</x:v>
      </x:c>
      <x:c r="B8" s="9" t="str">
        <x:v>UNCONFIRMED</x:v>
      </x:c>
      <x:c r="C8" s="2"/>
      <x:c r="D8" s="2" t="str">
        <x:v>TBD</x:v>
      </x:c>
      <x:c r="E8" s="2"/>
      <x:c r="F8" s="2" t="str">
        <x:v>ON_HOLD</x:v>
      </x:c>
      <x:c r="G8" s="2"/>
      <x:c r="H8" s="2" t="str">
        <x:v>REJECTED</x:v>
      </x:c>
      <x:c r="I8" s="2"/>
      <x:c r="J8" s="2"/>
      <x:c r="K8" s="2"/>
      <x:c r="L8" s="2"/>
      <x:c r="M8" s="2"/>
      <x:c r="N8" s="2"/>
      <x:c r="O8" s="2"/>
      <x:c r="P8" s="2" t="str">
        <x:v>SUPERSEDED</x:v>
      </x:c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4" customHeight="1">
      <x:c r="A9" s="2" t="str">
        <x:v>LegacySnapshotDate</x:v>
      </x:c>
      <x:c r="B9" s="10"/>
      <x:c r="C9" s="2"/>
      <x:c r="D9" s="2" t="str">
        <x:v>NOTINPLAN</x:v>
      </x:c>
      <x:c r="E9" s="2"/>
      <x:c r="F9" s="2" t="str">
        <x:v>CANCELLED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4" customHeight="1">
      <x:c r="A10" s="2" t="str">
        <x:v>LegacyDateQualification</x:v>
      </x:c>
      <x:c r="B10" s="9" t="str">
        <x:v>NOT_RECORDED</x:v>
      </x:c>
      <x:c r="C10" s="2"/>
      <x:c r="D10" s="2"/>
      <x:c r="E10" s="2"/>
      <x:c r="F10" s="2" t="str">
        <x:v>TBD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4" customHeight="1">
      <x:c r="A11" s="2" t="str">
        <x:v>Workstream</x:v>
      </x:c>
      <x:c r="B11" s="2" t="str">
        <x:v>SHAREPOINT_ONPREM_TO_SPO</x:v>
      </x:c>
      <x:c r="C11" s="2"/>
      <x:c r="D11" s="2"/>
      <x:c r="E11" s="2"/>
      <x:c r="F11" s="2" t="str">
        <x:v>NOTINPLAN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4" customHeight="1">
      <x:c r="A13" s="4" t="str">
        <x:v>Required before Power BI import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4" customHeight="1">
      <x:c r="A14" s="6" t="str">
        <x:v>Enter the actual TenantKey. The project name is not a verified tenant identity.</x:v>
      </x:c>
      <x:c r="B14" s="6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4" customHeight="1">
      <x:c r="A15" s="6"/>
      <x:c r="B15" s="6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24" customHeight="1">
      <x:c r="A17" s="6" t="str">
        <x:v>Choose MB_DECIMAL or MiB_BINARY after confirming the original size unit. The legacy /2014 conversion is not reused.</x:v>
      </x:c>
      <x:c r="B17" s="6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24" customHeight="1">
      <x:c r="A18" s="6"/>
      <x:c r="B18" s="6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4" customHeight="1">
      <x:c r="A19" s="6"/>
      <x:c r="B19" s="6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8" customHeight="1">
      <x:c r="A22" s="37" t="str">
        <x:v>Workbook guidance</x:v>
      </x:c>
      <x:c r="B22" s="37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5" customHeight="1">
      <x:c r="A23" s="6" t="str">
        <x:v>Enter ProjectKey and the verified TenantKey before reporting. Keep one immutable MigrationID per operation. Add rows inside tblMigrationPlan; extend calculated columns and validation rules when needed.</x:v>
      </x:c>
      <x:c r="B23" s="6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5" customHeight="1">
      <x:c r="A24" s="6"/>
      <x:c r="B24" s="6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5" customHeight="1">
      <x:c r="A25" s="6"/>
      <x:c r="B25" s="6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25" customHeight="1">
      <x:c r="A27" s="6" t="str">
        <x:v>SourceScope: ITEM_ONLY covers only the source; INCLUDE_CHILDREN includes descendants. NOT_APPLICABLE is for rows outside the current migration plan. NOT_SPECIFIED requires review. Parent and child rows can overlap: use confirmed native keys for distinct-site reporting.</x:v>
      </x:c>
      <x:c r="B27" s="6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25" customHeight="1">
      <x:c r="A28" s="6"/>
      <x:c r="B28" s="6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5" customHeight="1">
      <x:c r="A29" s="6"/>
      <x:c r="B29" s="6"/>
    </x:row>
    <x:row r="31" ht="28" customHeight="1">
      <x:c r="A31" s="6" t="str">
        <x:v>SourceURLAliases lists reviewed alternate URLs of the same business source. Accept native-zone proof or an explicitly approved tenant/project binding. Preserve distinct native identities in OnPremAdditionalWebKeys when applicable. Never use a global domain replacement.</x:v>
      </x:c>
      <x:c r="B31" s="6"/>
    </x:row>
    <x:row r="32" ht="28" customHeight="1">
      <x:c r="A32" s="6"/>
      <x:c r="B32" s="6"/>
    </x:row>
    <x:row r="33" ht="28" customHeight="1">
      <x:c r="A33" s="6"/>
      <x:c r="B33" s="6"/>
    </x:row>
    <x:row r="35" ht="25" customHeight="1">
      <x:c r="A35" s="6" t="str">
        <x:v>Disposition is the business decision; NOTINPLAN means no approved migration operation. DONE is declared execution, independent of validation. VALIDATED requires a validation date and supporting operational evidence. Never infer a child target URL from its parent.</x:v>
      </x:c>
      <x:c r="B35" s="6"/>
    </x:row>
    <x:row r="36" ht="25" customHeight="1">
      <x:c r="A36" s="6"/>
      <x:c r="B36" s="6"/>
    </x:row>
    <x:row r="37" ht="25" customHeight="1">
      <x:c r="A37" s="6"/>
      <x:c r="B37" s="6"/>
    </x:row>
    <x:row r="39" ht="25" customHeight="1">
      <x:c r="A39" s="6" t="str">
        <x:v>LegacyWebs and LegacyCollections hold the historical inventory. Confirm LegacySnapshotDate and SourceSizeUnit before reporting dates or storage. Collection storage must not be counted again for every subsite; modification dates do not prove user activity.</x:v>
      </x:c>
      <x:c r="B39" s="6"/>
    </x:row>
    <x:row r="40" ht="25" customHeight="1">
      <x:c r="A40" s="6"/>
      <x:c r="B40" s="6"/>
    </x:row>
    <x:row r="41" ht="25" customHeight="1">
      <x:c r="A41" s="6"/>
      <x:c r="B41" s="6"/>
    </x:row>
    <x:row r="43" ht="25" customHeight="1">
      <x:c r="A43" s="6" t="str">
        <x:v>Original sources, reconciliation decisions and progress evidence are archived separately. This workbook retains the current plan and historical inventory. Power BI integration and refresh are separate operations.</x:v>
      </x:c>
      <x:c r="B43" s="6"/>
    </x:row>
    <x:row r="44" ht="25" customHeight="1">
      <x:c r="A44" s="6"/>
      <x:c r="B44" s="6"/>
    </x:row>
    <x:row r="45" ht="25" customHeight="1">
      <x:c r="A45" s="6"/>
      <x:c r="B45" s="6"/>
    </x:row>
    <x:row r="47" ht="25" customHeight="1">
      <x:c r="A47" s="6" t="str">
        <x:v>The three visible sheets support daily use. The two hidden inventory sheets can be unhidden for review. Technical/import columns remain hidden in MigrationPlan. ReviewRequired and its supporting checks update from edited plan fields.</x:v>
      </x:c>
      <x:c r="B47" s="6"/>
    </x:row>
    <x:row r="48" ht="25" customHeight="1">
      <x:c r="A48" s="6"/>
      <x:c r="B48" s="6"/>
    </x:row>
    <x:row r="49" ht="25" customHeight="1">
      <x:c r="A49" s="6"/>
      <x:c r="B49" s="6"/>
    </x:row>
  </x:sheetData>
  <x:mergeCells>
    <x:mergeCell ref="A14:B15"/>
    <x:mergeCell ref="A17:B19"/>
    <x:mergeCell ref="A22:B22"/>
    <x:mergeCell ref="A23:B25"/>
    <x:mergeCell ref="A27:B29"/>
    <x:mergeCell ref="A31:B33"/>
    <x:mergeCell ref="A35:B37"/>
    <x:mergeCell ref="A39:B41"/>
    <x:mergeCell ref="A43:B45"/>
    <x:mergeCell ref="A47:B49"/>
  </x:mergeCells>
  <x:dataValidations count="1">
    <x:dataValidation type="list" sqref="B8">
      <x:formula1>"UNCONFIRMED,MB_DECIMAL,MiB_BINARY"</x:formula1>
    </x:dataValidation>
  </x:dataValidations>
  <x:pageMargins left="0.7" right="0.7" top="0.75" bottom="0.75" header="0.3" footer="0.3"/>
  <x:tableParts count="8">
    <x:tablePart r:id="R6093efa94411488d"/>
    <x:tablePart r:id="Raefa85dddf1e4c6b"/>
    <x:tablePart r:id="Rc1afaad5f23c4138"/>
    <x:tablePart r:id="R0efe36ebd9064e5f"/>
    <x:tablePart r:id="R8f5d4ebf79c74bde"/>
    <x:tablePart r:id="R6ef32d0ff64a4ab0"/>
    <x:tablePart r:id="Rf66362d1424c4169"/>
    <x:tablePart r:id="R069a09f2dc05456f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55" hidden="0" customWidth="1"/>
    <x:col min="4" max="4" width="55" hidden="0" customWidth="1"/>
    <x:col min="5" max="5" width="55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</x:cols>
  <x:sheetData>
    <x:row r="1" ht="42" customHeight="1">
      <x:c r="A1" s="12" t="str">
        <x:v>LegacyWebID</x:v>
      </x:c>
      <x:c r="B1" s="12" t="str">
        <x:v>LegacyCollectionID</x:v>
      </x:c>
      <x:c r="C1" s="12" t="str">
        <x:v>SourceURL</x:v>
      </x:c>
      <x:c r="D1" s="12" t="str">
        <x:v>SiteTitle</x:v>
      </x:c>
      <x:c r="E1" s="12" t="str">
        <x:v>Description</x:v>
      </x:c>
      <x:c r="F1" s="12" t="str">
        <x:v>CreatedDate</x:v>
      </x:c>
      <x:c r="G1" s="12" t="str">
        <x:v>LastContentModifiedDate</x:v>
      </x:c>
      <x:c r="H1" s="12" t="str">
        <x:v>TemplateUsed</x:v>
      </x:c>
      <x:c r="I1" s="12" t="str">
        <x:v>LanguageLCID</x:v>
      </x:c>
      <x:c r="J1" s="12" t="str">
        <x:v>DirectSubsiteCount</x:v>
      </x:c>
      <x:c r="K1" s="12" t="str">
        <x:v>IsRootWeb</x:v>
      </x:c>
      <x:c r="L1" s="12" t="str">
        <x:v>IntegrationType</x:v>
      </x:c>
      <x:c r="M1" s="12" t="str">
        <x:v>Disposition</x:v>
      </x:c>
      <x:c r="N1" s="12" t="str">
        <x:v>BusinessOwner</x:v>
      </x:c>
      <x:c r="O1" s="12" t="str">
        <x:v>SourceInventoryRows</x:v>
      </x:c>
      <x:c r="P1" s="12" t="str">
        <x:v>ImportedRowCount</x:v>
      </x:c>
      <x:c r="Q1" s="12" t="str">
        <x:v>ConflictingColumns</x:v>
      </x:c>
      <x:c r="R1"/>
    </x:row>
    <x:row r="2" ht="24" customHeight="1">
      <x:c r="A2" s="2"/>
      <x:c r="B2" s="2"/>
      <x:c r="C2" s="2"/>
      <x:c r="D2" s="2"/>
      <x:c r="E2" s="2"/>
      <x:c r="F2" s="17"/>
      <x:c r="G2" s="17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/>
    </x:row>
  </x:sheetData>
  <x:pageMargins left="0.7" right="0.7" top="0.75" bottom="0.75" header="0.3" footer="0.3"/>
  <x:tableParts count="1">
    <x:tablePart r:id="R79693105c34c4890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55" hidden="0" customWidth="1"/>
    <x:col min="3" max="3" width="55" hidden="0" customWidth="1"/>
    <x:col min="4" max="4" width="55" hidden="0" customWidth="1"/>
    <x:col min="5" max="5" width="20" hidden="0" customWidth="1"/>
    <x:col min="6" max="6" width="20" hidden="0" customWidth="1"/>
    <x:col min="7" max="7" width="20" hidden="0" customWidth="1"/>
    <x:col min="8" max="8" width="35" hidden="0" customWidth="1"/>
    <x:col min="9" max="9" width="35" hidden="0" customWidth="1"/>
    <x:col min="10" max="10" width="20" hidden="0" customWidth="1"/>
    <x:col min="11" max="11" width="60" hidden="0" customWidth="1"/>
  </x:cols>
  <x:sheetData>
    <x:row r="1" ht="42" customHeight="1">
      <x:c r="A1" s="12" t="str">
        <x:v>LegacyCollectionID</x:v>
      </x:c>
      <x:c r="B1" s="12" t="str">
        <x:v>SiteCollectionURL</x:v>
      </x:c>
      <x:c r="C1" s="12" t="str">
        <x:v>WebApplicationURL</x:v>
      </x:c>
      <x:c r="D1" s="12" t="str">
        <x:v>ContentDatabase</x:v>
      </x:c>
      <x:c r="E1" s="12" t="str">
        <x:v>SizeMB_Reported</x:v>
      </x:c>
      <x:c r="F1" s="12" t="str">
        <x:v>SizeConverted</x:v>
      </x:c>
      <x:c r="G1" s="12" t="str">
        <x:v>ConvertedUnit</x:v>
      </x:c>
      <x:c r="H1" s="12" t="str">
        <x:v>TechnicalOwner</x:v>
      </x:c>
      <x:c r="I1" s="12" t="str">
        <x:v>SecondaryContact</x:v>
      </x:c>
      <x:c r="J1" s="12" t="str">
        <x:v>DistinctWebs</x:v>
      </x:c>
      <x:c r="K1" s="12" t="str">
        <x:v>SourceInventoryRows</x:v>
      </x:c>
    </x:row>
    <x:row r="2" ht="24" customHeight="1">
      <x:c r="A2" s="2"/>
      <x:c r="B2" s="2"/>
      <x:c r="C2" s="2"/>
      <x:c r="D2" s="2"/>
      <x:c r="E2" s="18"/>
      <x:c r="F2" s="19" t="str">
        <x:f>IF(A2="","",IF(Parameters!$B$8="MB_DECIMAL",E2/1000,IF(Parameters!$B$8="MiB_BINARY",E2/1024,"")))</x:f>
      </x:c>
      <x:c r="G2" s="14" t="str">
        <x:f>IF(A2="","",IF(Parameters!$B$8="MB_DECIMAL","GB",IF(Parameters!$B$8="MiB_BINARY","GiB","UNCONFIRMED")))</x:f>
      </x:c>
      <x:c r="H2" s="2"/>
      <x:c r="I2" s="2"/>
      <x:c r="J2" s="2"/>
      <x:c r="K2" s="6"/>
    </x:row>
  </x:sheetData>
  <x:pageMargins left="0.7" right="0.7" top="0.75" bottom="0.75" header="0.3" footer="0.3"/>
  <x:tableParts count="1">
    <x:tablePart r:id="Rca3d67e80ddd456f"/>
  </x:tableParts>
</x:worksheet>
</file>